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Raw_Data" sheetId="2" state="visible" r:id="rId4"/>
    <sheet name="Clean_Data" sheetId="3" state="visible" r:id="rId5"/>
    <sheet name="Cleaning_Log" sheetId="4" state="visible" r:id="rId6"/>
    <sheet name="G1_Trend" sheetId="5" state="visible" r:id="rId7"/>
    <sheet name="G2_Decades" sheetId="6" state="visible" r:id="rId8"/>
    <sheet name="G3_Coaches" sheetId="7" state="visible" r:id="rId9"/>
    <sheet name="G4_Eras" sheetId="8" state="visible" r:id="rId10"/>
    <sheet name="G5_Bowls" sheetId="9" state="visible" r:id="rId11"/>
    <sheet name="G6_Rankings" sheetId="10" state="visible" r:id="rId12"/>
  </sheets>
  <definedNames>
    <definedName function="false" hidden="false" localSheetId="4" name="_xlnm.Print_Area" vbProcedure="false">G1_Trend!$A$1:$J$34</definedName>
    <definedName function="false" hidden="false" localSheetId="5" name="_xlnm.Print_Area" vbProcedure="false">G2_Decades!$A$1:$J$34</definedName>
    <definedName function="false" hidden="false" localSheetId="6" name="_xlnm.Print_Area" vbProcedure="false">G3_Coaches!$A$1:$J$34</definedName>
    <definedName function="false" hidden="false" localSheetId="7" name="_xlnm.Print_Area" vbProcedure="false">G4_Eras!$A$1:$J$34</definedName>
    <definedName function="false" hidden="false" localSheetId="8" name="_xlnm.Print_Area" vbProcedure="false">G5_Bowls!$A$1:$J$34</definedName>
    <definedName function="false" hidden="false" localSheetId="9" name="_xlnm.Print_Area" vbProcedure="false">G6_Rankings!$A$1:$J$34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<sst xmlns="http://schemas.openxmlformats.org/spreadsheetml/2006/main" count="2471" uniqueCount="525">
  <si>
    <t xml:space="preserve">Nebraska Football Win History (1890-2025)</t>
  </si>
  <si>
    <t xml:space="preserve">Drew White - Data Visualization Project</t>
  </si>
  <si>
    <t xml:space="preserve">Dataset</t>
  </si>
  <si>
    <t xml:space="preserve">Nebraska Cornhuskers football season-by-season results, 1890-2025 (136 completed seasons).</t>
  </si>
  <si>
    <t xml:space="preserve">Source</t>
  </si>
  <si>
    <t xml:space="preserve">Wikipedia, 'List of Nebraska Cornhuskers football seasons' (https://en.wikipedia.org/wiki/List_of_Nebraska_Cornhuskers_football_seasons), retrieved Oct 9, 2026; table compiled from the Nebraska Athletics Football Record Book and NCAA records.</t>
  </si>
  <si>
    <t xml:space="preserve">Raw_Data</t>
  </si>
  <si>
    <t xml:space="preserve">The table as retrieved: 137 rows x 9 columns, text values (records like '9–2–1', ranks like 'T–20').</t>
  </si>
  <si>
    <t xml:space="preserve">Clean_Data</t>
  </si>
  <si>
    <t xml:space="preserve">Cleaned table used for all charts: 136 rows x 25 columns of numeric and categorical fields.</t>
  </si>
  <si>
    <t xml:space="preserve">Cleaning_Log</t>
  </si>
  <si>
    <t xml:space="preserve">Every cleaning step applied to get from Raw_Data to Clean_Data.</t>
  </si>
  <si>
    <t xml:space="preserve">G1 - G6</t>
  </si>
  <si>
    <t xml:space="preserve">One sheet per goal: a formula-driven summary table, the chart, and the story for that goal.</t>
  </si>
  <si>
    <t xml:space="preserve">Project goals</t>
  </si>
  <si>
    <t xml:space="preserve">G1_Trend</t>
  </si>
  <si>
    <t xml:space="preserve">Show how Nebraska's win percentage has changed from 1890 to 2025.</t>
  </si>
  <si>
    <t xml:space="preserve">G2_Decades</t>
  </si>
  <si>
    <t xml:space="preserve">Compare win percentage by decade to find the best and worst decades.</t>
  </si>
  <si>
    <t xml:space="preserve">G3_Coaches</t>
  </si>
  <si>
    <t xml:space="preserve">Compare the win percentage of every head coach since 1962.</t>
  </si>
  <si>
    <t xml:space="preserve">G4_Eras</t>
  </si>
  <si>
    <t xml:space="preserve">Compare Nebraska's results in the Big Eight, Big 12, and Big Ten.</t>
  </si>
  <si>
    <t xml:space="preserve">G5_Bowls</t>
  </si>
  <si>
    <t xml:space="preserve">Show bowl wins and losses by decade.</t>
  </si>
  <si>
    <t xml:space="preserve">G6_Rankings</t>
  </si>
  <si>
    <t xml:space="preserve">Show Nebraska's final AP ranking each season to see when they were a national power.</t>
  </si>
  <si>
    <t xml:space="preserve">Year</t>
  </si>
  <si>
    <t xml:space="preserve">Coach</t>
  </si>
  <si>
    <t xml:space="preserve">Conference_Name</t>
  </si>
  <si>
    <t xml:space="preserve">Overall</t>
  </si>
  <si>
    <t xml:space="preserve">Conference</t>
  </si>
  <si>
    <t xml:space="preserve">Standing</t>
  </si>
  <si>
    <t xml:space="preserve">Bowl/playoffs</t>
  </si>
  <si>
    <t xml:space="preserve">Coaches</t>
  </si>
  <si>
    <t xml:space="preserve">AP</t>
  </si>
  <si>
    <t xml:space="preserve">1890</t>
  </si>
  <si>
    <t xml:space="preserve">Langdon Frothingham</t>
  </si>
  <si>
    <t xml:space="preserve">Independent</t>
  </si>
  <si>
    <t xml:space="preserve">2–0</t>
  </si>
  <si>
    <t xml:space="preserve">1891</t>
  </si>
  <si>
    <t xml:space="preserve">Theron Lyman</t>
  </si>
  <si>
    <t xml:space="preserve">2–2</t>
  </si>
  <si>
    <t xml:space="preserve">1892</t>
  </si>
  <si>
    <t xml:space="preserve">J. S. Williams</t>
  </si>
  <si>
    <t xml:space="preserve">WIUFA</t>
  </si>
  <si>
    <t xml:space="preserve">2–2–1</t>
  </si>
  <si>
    <t xml:space="preserve">1–1–1</t>
  </si>
  <si>
    <t xml:space="preserve">2nd</t>
  </si>
  <si>
    <t xml:space="preserve">1893</t>
  </si>
  <si>
    <t xml:space="preserve">Frank Crawford</t>
  </si>
  <si>
    <t xml:space="preserve">3–2–1</t>
  </si>
  <si>
    <t xml:space="preserve">1–2</t>
  </si>
  <si>
    <t xml:space="preserve">3rd</t>
  </si>
  <si>
    <t xml:space="preserve">1894</t>
  </si>
  <si>
    <t xml:space="preserve">6–2</t>
  </si>
  <si>
    <t xml:space="preserve">2–1</t>
  </si>
  <si>
    <t xml:space="preserve">1st</t>
  </si>
  <si>
    <t xml:space="preserve">1895</t>
  </si>
  <si>
    <t xml:space="preserve">Charles Thomas</t>
  </si>
  <si>
    <t xml:space="preserve">6–3</t>
  </si>
  <si>
    <t xml:space="preserve">T–1st</t>
  </si>
  <si>
    <t xml:space="preserve">1896</t>
  </si>
  <si>
    <t xml:space="preserve">Edward N. Robinson</t>
  </si>
  <si>
    <t xml:space="preserve">6–3–1</t>
  </si>
  <si>
    <t xml:space="preserve">1897</t>
  </si>
  <si>
    <t xml:space="preserve">5–1</t>
  </si>
  <si>
    <t xml:space="preserve">3–0</t>
  </si>
  <si>
    <t xml:space="preserve">1898</t>
  </si>
  <si>
    <t xml:space="preserve">Fielding H. Yost</t>
  </si>
  <si>
    <t xml:space="preserve">8–3</t>
  </si>
  <si>
    <t xml:space="preserve">1899</t>
  </si>
  <si>
    <t xml:space="preserve">Alonzo Edwin Branch</t>
  </si>
  <si>
    <t xml:space="preserve">1–7–1</t>
  </si>
  <si>
    <t xml:space="preserve">1900</t>
  </si>
  <si>
    <t xml:space="preserve">Walter C. Booth</t>
  </si>
  <si>
    <t xml:space="preserve">6–1–1</t>
  </si>
  <si>
    <t xml:space="preserve">1901</t>
  </si>
  <si>
    <t xml:space="preserve">1902</t>
  </si>
  <si>
    <t xml:space="preserve">9–0</t>
  </si>
  <si>
    <t xml:space="preserve">1903</t>
  </si>
  <si>
    <t xml:space="preserve">10–0</t>
  </si>
  <si>
    <t xml:space="preserve">1904</t>
  </si>
  <si>
    <t xml:space="preserve">7–3</t>
  </si>
  <si>
    <t xml:space="preserve">1905</t>
  </si>
  <si>
    <t xml:space="preserve">8–2</t>
  </si>
  <si>
    <t xml:space="preserve">1906</t>
  </si>
  <si>
    <t xml:space="preserve">Amos Foster</t>
  </si>
  <si>
    <t xml:space="preserve">6–4</t>
  </si>
  <si>
    <t xml:space="preserve">1907</t>
  </si>
  <si>
    <t xml:space="preserve">William C. Cole</t>
  </si>
  <si>
    <t xml:space="preserve">MVIAA</t>
  </si>
  <si>
    <t xml:space="preserve">1–0</t>
  </si>
  <si>
    <t xml:space="preserve">1908</t>
  </si>
  <si>
    <t xml:space="preserve">7–2–1</t>
  </si>
  <si>
    <t xml:space="preserve">T–2nd</t>
  </si>
  <si>
    <t xml:space="preserve">1909</t>
  </si>
  <si>
    <t xml:space="preserve">3–3–2</t>
  </si>
  <si>
    <t xml:space="preserve">0–2–1</t>
  </si>
  <si>
    <t xml:space="preserve">T–5th</t>
  </si>
  <si>
    <t xml:space="preserve">1910</t>
  </si>
  <si>
    <t xml:space="preserve">7–1</t>
  </si>
  <si>
    <t xml:space="preserve">1911</t>
  </si>
  <si>
    <t xml:space="preserve">Ewald O. Stiehm</t>
  </si>
  <si>
    <t xml:space="preserve">5–1–2</t>
  </si>
  <si>
    <t xml:space="preserve">2–0–1</t>
  </si>
  <si>
    <t xml:space="preserve">1912</t>
  </si>
  <si>
    <t xml:space="preserve">1913</t>
  </si>
  <si>
    <t xml:space="preserve">8–0</t>
  </si>
  <si>
    <t xml:space="preserve">1914</t>
  </si>
  <si>
    <t xml:space="preserve">7–0–1</t>
  </si>
  <si>
    <t xml:space="preserve">1915</t>
  </si>
  <si>
    <t xml:space="preserve">4–0</t>
  </si>
  <si>
    <t xml:space="preserve">1916</t>
  </si>
  <si>
    <t xml:space="preserve">E. J. Stewart</t>
  </si>
  <si>
    <t xml:space="preserve">3–1</t>
  </si>
  <si>
    <t xml:space="preserve">1917</t>
  </si>
  <si>
    <t xml:space="preserve">5–2</t>
  </si>
  <si>
    <t xml:space="preserve">1918</t>
  </si>
  <si>
    <t xml:space="preserve">William G. Kline</t>
  </si>
  <si>
    <t xml:space="preserve">2–3–1</t>
  </si>
  <si>
    <t xml:space="preserve">0–0</t>
  </si>
  <si>
    <t xml:space="preserve">1919</t>
  </si>
  <si>
    <t xml:space="preserve">Henry Schulte</t>
  </si>
  <si>
    <t xml:space="preserve">1920</t>
  </si>
  <si>
    <t xml:space="preserve">5–3–1</t>
  </si>
  <si>
    <t xml:space="preserve">1921</t>
  </si>
  <si>
    <t xml:space="preserve">Fred Dawson</t>
  </si>
  <si>
    <t xml:space="preserve">1922</t>
  </si>
  <si>
    <t xml:space="preserve">5–0</t>
  </si>
  <si>
    <t xml:space="preserve">1923</t>
  </si>
  <si>
    <t xml:space="preserve">4–2–2</t>
  </si>
  <si>
    <t xml:space="preserve">3–0–2</t>
  </si>
  <si>
    <t xml:space="preserve">1924</t>
  </si>
  <si>
    <t xml:space="preserve">5–3</t>
  </si>
  <si>
    <t xml:space="preserve">1925</t>
  </si>
  <si>
    <t xml:space="preserve">Ernest Bearg</t>
  </si>
  <si>
    <t xml:space="preserve">5th</t>
  </si>
  <si>
    <t xml:space="preserve">1926</t>
  </si>
  <si>
    <t xml:space="preserve">1927</t>
  </si>
  <si>
    <t xml:space="preserve">4–1</t>
  </si>
  <si>
    <t xml:space="preserve">1928</t>
  </si>
  <si>
    <t xml:space="preserve">7–1–1</t>
  </si>
  <si>
    <t xml:space="preserve">1929</t>
  </si>
  <si>
    <t xml:space="preserve">Dana X. Bible</t>
  </si>
  <si>
    <t xml:space="preserve">4–1–3</t>
  </si>
  <si>
    <t xml:space="preserve">1930</t>
  </si>
  <si>
    <t xml:space="preserve">4–3–2</t>
  </si>
  <si>
    <t xml:space="preserve">4th</t>
  </si>
  <si>
    <t xml:space="preserve">1931</t>
  </si>
  <si>
    <t xml:space="preserve">1932</t>
  </si>
  <si>
    <t xml:space="preserve">1933</t>
  </si>
  <si>
    <t xml:space="preserve">8–1</t>
  </si>
  <si>
    <t xml:space="preserve">1934</t>
  </si>
  <si>
    <t xml:space="preserve">1935</t>
  </si>
  <si>
    <t xml:space="preserve">6–2–1</t>
  </si>
  <si>
    <t xml:space="preserve">4–0–1</t>
  </si>
  <si>
    <t xml:space="preserve">1936</t>
  </si>
  <si>
    <t xml:space="preserve">7–2</t>
  </si>
  <si>
    <t xml:space="preserve">9</t>
  </si>
  <si>
    <t xml:space="preserve">1937</t>
  </si>
  <si>
    <t xml:space="preserve">Biff Jones</t>
  </si>
  <si>
    <t xml:space="preserve">6–1–2</t>
  </si>
  <si>
    <t xml:space="preserve">11</t>
  </si>
  <si>
    <t xml:space="preserve">1938</t>
  </si>
  <si>
    <t xml:space="preserve">3–5–1</t>
  </si>
  <si>
    <t xml:space="preserve">2–3</t>
  </si>
  <si>
    <t xml:space="preserve">T–3rd</t>
  </si>
  <si>
    <t xml:space="preserve">1939</t>
  </si>
  <si>
    <t xml:space="preserve">18</t>
  </si>
  <si>
    <t xml:space="preserve">1940</t>
  </si>
  <si>
    <t xml:space="preserve">L Rose</t>
  </si>
  <si>
    <t xml:space="preserve">7</t>
  </si>
  <si>
    <t xml:space="preserve">1941</t>
  </si>
  <si>
    <t xml:space="preserve">4–5</t>
  </si>
  <si>
    <t xml:space="preserve">3–2</t>
  </si>
  <si>
    <t xml:space="preserve">1942</t>
  </si>
  <si>
    <t xml:space="preserve">Glenn Presnell</t>
  </si>
  <si>
    <t xml:space="preserve">3–7</t>
  </si>
  <si>
    <t xml:space="preserve">1943</t>
  </si>
  <si>
    <t xml:space="preserve">Adolph J. Lewandowski</t>
  </si>
  <si>
    <t xml:space="preserve">2–6</t>
  </si>
  <si>
    <t xml:space="preserve">T–4th</t>
  </si>
  <si>
    <t xml:space="preserve">1944</t>
  </si>
  <si>
    <t xml:space="preserve">1945</t>
  </si>
  <si>
    <t xml:space="preserve">George Clark</t>
  </si>
  <si>
    <t xml:space="preserve">1946</t>
  </si>
  <si>
    <t xml:space="preserve">Bernie Masterson</t>
  </si>
  <si>
    <t xml:space="preserve">3–6</t>
  </si>
  <si>
    <t xml:space="preserve">1947</t>
  </si>
  <si>
    <t xml:space="preserve">2–7</t>
  </si>
  <si>
    <t xml:space="preserve">1948</t>
  </si>
  <si>
    <t xml:space="preserve">2–8</t>
  </si>
  <si>
    <t xml:space="preserve">2–4</t>
  </si>
  <si>
    <t xml:space="preserve">1949</t>
  </si>
  <si>
    <t xml:space="preserve">Bill Glassford</t>
  </si>
  <si>
    <t xml:space="preserve">3–3</t>
  </si>
  <si>
    <t xml:space="preserve">1950</t>
  </si>
  <si>
    <t xml:space="preserve">4–2</t>
  </si>
  <si>
    <t xml:space="preserve">T–20</t>
  </si>
  <si>
    <t xml:space="preserve">17</t>
  </si>
  <si>
    <t xml:space="preserve">1951</t>
  </si>
  <si>
    <t xml:space="preserve">1952</t>
  </si>
  <si>
    <t xml:space="preserve">5–4–1</t>
  </si>
  <si>
    <t xml:space="preserve">1953</t>
  </si>
  <si>
    <t xml:space="preserve">3–6–1</t>
  </si>
  <si>
    <t xml:space="preserve">1954</t>
  </si>
  <si>
    <t xml:space="preserve">6–5</t>
  </si>
  <si>
    <t xml:space="preserve">L Orange</t>
  </si>
  <si>
    <t xml:space="preserve">1955</t>
  </si>
  <si>
    <t xml:space="preserve">5–5</t>
  </si>
  <si>
    <t xml:space="preserve">1956</t>
  </si>
  <si>
    <t xml:space="preserve">Pete Elliott</t>
  </si>
  <si>
    <t xml:space="preserve">4–6</t>
  </si>
  <si>
    <t xml:space="preserve">1957</t>
  </si>
  <si>
    <t xml:space="preserve">Bill Jennings</t>
  </si>
  <si>
    <t xml:space="preserve">1–9</t>
  </si>
  <si>
    <t xml:space="preserve">1–5</t>
  </si>
  <si>
    <t xml:space="preserve">7th</t>
  </si>
  <si>
    <t xml:space="preserve">1958</t>
  </si>
  <si>
    <t xml:space="preserve">6th</t>
  </si>
  <si>
    <t xml:space="preserve">1959</t>
  </si>
  <si>
    <t xml:space="preserve">1960</t>
  </si>
  <si>
    <t xml:space="preserve">2–5</t>
  </si>
  <si>
    <t xml:space="preserve">T–6th</t>
  </si>
  <si>
    <t xml:space="preserve">1961</t>
  </si>
  <si>
    <t xml:space="preserve">1962</t>
  </si>
  <si>
    <t xml:space="preserve">Bob Devaney</t>
  </si>
  <si>
    <t xml:space="preserve">MVIAA / Big Eight</t>
  </si>
  <si>
    <t xml:space="preserve">9–2</t>
  </si>
  <si>
    <t xml:space="preserve">W Gotham</t>
  </si>
  <si>
    <t xml:space="preserve">1963</t>
  </si>
  <si>
    <t xml:space="preserve">10–1</t>
  </si>
  <si>
    <t xml:space="preserve">7–0</t>
  </si>
  <si>
    <t xml:space="preserve">W Orange</t>
  </si>
  <si>
    <t xml:space="preserve">5</t>
  </si>
  <si>
    <t xml:space="preserve">6</t>
  </si>
  <si>
    <t xml:space="preserve">1964</t>
  </si>
  <si>
    <t xml:space="preserve">6–1</t>
  </si>
  <si>
    <t xml:space="preserve">L Cotton</t>
  </si>
  <si>
    <t xml:space="preserve">1965</t>
  </si>
  <si>
    <t xml:space="preserve">3</t>
  </si>
  <si>
    <t xml:space="preserve">1966</t>
  </si>
  <si>
    <t xml:space="preserve">L Sugar</t>
  </si>
  <si>
    <t xml:space="preserve">1967</t>
  </si>
  <si>
    <t xml:space="preserve">3–4</t>
  </si>
  <si>
    <t xml:space="preserve">1968</t>
  </si>
  <si>
    <t xml:space="preserve">1969</t>
  </si>
  <si>
    <t xml:space="preserve">W Sun</t>
  </si>
  <si>
    <t xml:space="preserve">12</t>
  </si>
  <si>
    <t xml:space="preserve">1970</t>
  </si>
  <si>
    <t xml:space="preserve">11–0–1</t>
  </si>
  <si>
    <t xml:space="preserve">1</t>
  </si>
  <si>
    <t xml:space="preserve">1971</t>
  </si>
  <si>
    <t xml:space="preserve">13–0</t>
  </si>
  <si>
    <t xml:space="preserve">1972</t>
  </si>
  <si>
    <t xml:space="preserve">9–2–1</t>
  </si>
  <si>
    <t xml:space="preserve">5–1–1</t>
  </si>
  <si>
    <t xml:space="preserve">4</t>
  </si>
  <si>
    <t xml:space="preserve">1973</t>
  </si>
  <si>
    <t xml:space="preserve">Tom Osborne</t>
  </si>
  <si>
    <t xml:space="preserve">Big Eight</t>
  </si>
  <si>
    <t xml:space="preserve">4–2–1</t>
  </si>
  <si>
    <t xml:space="preserve">W Cotton</t>
  </si>
  <si>
    <t xml:space="preserve">T–11</t>
  </si>
  <si>
    <t xml:space="preserve">1974</t>
  </si>
  <si>
    <t xml:space="preserve">9–3</t>
  </si>
  <si>
    <t xml:space="preserve">W Sugar</t>
  </si>
  <si>
    <t xml:space="preserve">8</t>
  </si>
  <si>
    <t xml:space="preserve">1975</t>
  </si>
  <si>
    <t xml:space="preserve">10–2</t>
  </si>
  <si>
    <t xml:space="preserve">L Fiesta</t>
  </si>
  <si>
    <t xml:space="preserve">1976</t>
  </si>
  <si>
    <t xml:space="preserve">9–3–1</t>
  </si>
  <si>
    <t xml:space="preserve">4–3</t>
  </si>
  <si>
    <t xml:space="preserve">W Astro-Bluebonnet</t>
  </si>
  <si>
    <t xml:space="preserve">1977</t>
  </si>
  <si>
    <t xml:space="preserve">W Liberty</t>
  </si>
  <si>
    <t xml:space="preserve">10</t>
  </si>
  <si>
    <t xml:space="preserve">1978</t>
  </si>
  <si>
    <t xml:space="preserve">1979</t>
  </si>
  <si>
    <t xml:space="preserve">1980</t>
  </si>
  <si>
    <t xml:space="preserve">1981</t>
  </si>
  <si>
    <t xml:space="preserve">1982</t>
  </si>
  <si>
    <t xml:space="preserve">12–1</t>
  </si>
  <si>
    <t xml:space="preserve">1983</t>
  </si>
  <si>
    <t xml:space="preserve">2</t>
  </si>
  <si>
    <t xml:space="preserve">1984</t>
  </si>
  <si>
    <t xml:space="preserve">1985</t>
  </si>
  <si>
    <t xml:space="preserve">1986</t>
  </si>
  <si>
    <t xml:space="preserve">1987</t>
  </si>
  <si>
    <t xml:space="preserve">1988</t>
  </si>
  <si>
    <t xml:space="preserve">11–2</t>
  </si>
  <si>
    <t xml:space="preserve">1989</t>
  </si>
  <si>
    <t xml:space="preserve">1990</t>
  </si>
  <si>
    <t xml:space="preserve">L Florida Citrus</t>
  </si>
  <si>
    <t xml:space="preserve">T–17</t>
  </si>
  <si>
    <t xml:space="preserve">24</t>
  </si>
  <si>
    <t xml:space="preserve">1991</t>
  </si>
  <si>
    <t xml:space="preserve">6–0–1</t>
  </si>
  <si>
    <t xml:space="preserve">16</t>
  </si>
  <si>
    <t xml:space="preserve">15</t>
  </si>
  <si>
    <t xml:space="preserve">1992</t>
  </si>
  <si>
    <t xml:space="preserve">L Orange†</t>
  </si>
  <si>
    <t xml:space="preserve">14</t>
  </si>
  <si>
    <t xml:space="preserve">1993</t>
  </si>
  <si>
    <t xml:space="preserve">11–1</t>
  </si>
  <si>
    <t xml:space="preserve">1994</t>
  </si>
  <si>
    <t xml:space="preserve">W Orange†</t>
  </si>
  <si>
    <t xml:space="preserve">1995</t>
  </si>
  <si>
    <t xml:space="preserve">12–0</t>
  </si>
  <si>
    <t xml:space="preserve">W Fiesta†</t>
  </si>
  <si>
    <t xml:space="preserve">1996</t>
  </si>
  <si>
    <t xml:space="preserve">Big 12</t>
  </si>
  <si>
    <t xml:space="preserve">1st (North)</t>
  </si>
  <si>
    <t xml:space="preserve">1997</t>
  </si>
  <si>
    <t xml:space="preserve">1998</t>
  </si>
  <si>
    <t xml:space="preserve">Frank Solich</t>
  </si>
  <si>
    <t xml:space="preserve">9–4</t>
  </si>
  <si>
    <t xml:space="preserve">T–2nd (North)</t>
  </si>
  <si>
    <t xml:space="preserve">L Holiday</t>
  </si>
  <si>
    <t xml:space="preserve">20</t>
  </si>
  <si>
    <t xml:space="preserve">19</t>
  </si>
  <si>
    <t xml:space="preserve">1999</t>
  </si>
  <si>
    <t xml:space="preserve">2000</t>
  </si>
  <si>
    <t xml:space="preserve">T–1st (North)</t>
  </si>
  <si>
    <t xml:space="preserve">W Alamo</t>
  </si>
  <si>
    <t xml:space="preserve">2001</t>
  </si>
  <si>
    <t xml:space="preserve">L Rose†</t>
  </si>
  <si>
    <t xml:space="preserve">2002</t>
  </si>
  <si>
    <t xml:space="preserve">7–7</t>
  </si>
  <si>
    <t xml:space="preserve">3–5</t>
  </si>
  <si>
    <t xml:space="preserve">4th (North)</t>
  </si>
  <si>
    <t xml:space="preserve">L Independence</t>
  </si>
  <si>
    <t xml:space="preserve">2003</t>
  </si>
  <si>
    <t xml:space="preserve">10–3</t>
  </si>
  <si>
    <t xml:space="preserve">2nd (North)</t>
  </si>
  <si>
    <t xml:space="preserve">2004</t>
  </si>
  <si>
    <t xml:space="preserve">Bill Callahan</t>
  </si>
  <si>
    <t xml:space="preserve">5–6</t>
  </si>
  <si>
    <t xml:space="preserve">3rd (North)</t>
  </si>
  <si>
    <t xml:space="preserve">2005</t>
  </si>
  <si>
    <t xml:space="preserve">8–4</t>
  </si>
  <si>
    <t xml:space="preserve">4–4</t>
  </si>
  <si>
    <t xml:space="preserve">2006</t>
  </si>
  <si>
    <t xml:space="preserve">9–5</t>
  </si>
  <si>
    <t xml:space="preserve">2007</t>
  </si>
  <si>
    <t xml:space="preserve">5–7</t>
  </si>
  <si>
    <t xml:space="preserve">T–5th (North)</t>
  </si>
  <si>
    <t xml:space="preserve">2008</t>
  </si>
  <si>
    <t xml:space="preserve">Bo Pelini</t>
  </si>
  <si>
    <t xml:space="preserve">W Gator</t>
  </si>
  <si>
    <t xml:space="preserve">2009</t>
  </si>
  <si>
    <t xml:space="preserve">10–4</t>
  </si>
  <si>
    <t xml:space="preserve">W Holiday</t>
  </si>
  <si>
    <t xml:space="preserve">2010</t>
  </si>
  <si>
    <t xml:space="preserve">2011</t>
  </si>
  <si>
    <t xml:space="preserve">Big Ten</t>
  </si>
  <si>
    <t xml:space="preserve">3rd (Legends)</t>
  </si>
  <si>
    <t xml:space="preserve">L Capital One</t>
  </si>
  <si>
    <t xml:space="preserve">2012</t>
  </si>
  <si>
    <t xml:space="preserve">1st (Legends)</t>
  </si>
  <si>
    <t xml:space="preserve">23</t>
  </si>
  <si>
    <t xml:space="preserve">25</t>
  </si>
  <si>
    <t xml:space="preserve">2013</t>
  </si>
  <si>
    <t xml:space="preserve">T–2nd (Legends)</t>
  </si>
  <si>
    <t xml:space="preserve">2014</t>
  </si>
  <si>
    <t xml:space="preserve">T–2nd (West)</t>
  </si>
  <si>
    <t xml:space="preserve">2015</t>
  </si>
  <si>
    <t xml:space="preserve">Mike Riley</t>
  </si>
  <si>
    <t xml:space="preserve">6–7</t>
  </si>
  <si>
    <t xml:space="preserve">4th (West)</t>
  </si>
  <si>
    <t xml:space="preserve">W Foster Farms</t>
  </si>
  <si>
    <t xml:space="preserve">2016</t>
  </si>
  <si>
    <t xml:space="preserve">L Music City</t>
  </si>
  <si>
    <t xml:space="preserve">2017</t>
  </si>
  <si>
    <t xml:space="preserve">4–8</t>
  </si>
  <si>
    <t xml:space="preserve">5th (West)</t>
  </si>
  <si>
    <t xml:space="preserve">2018</t>
  </si>
  <si>
    <t xml:space="preserve">Scott Frost</t>
  </si>
  <si>
    <t xml:space="preserve">T–5th (West)</t>
  </si>
  <si>
    <t xml:space="preserve">2019</t>
  </si>
  <si>
    <t xml:space="preserve">2020</t>
  </si>
  <si>
    <t xml:space="preserve">2021</t>
  </si>
  <si>
    <t xml:space="preserve">3–9</t>
  </si>
  <si>
    <t xml:space="preserve">1–8</t>
  </si>
  <si>
    <t xml:space="preserve">T–6th (West)</t>
  </si>
  <si>
    <t xml:space="preserve">2022</t>
  </si>
  <si>
    <t xml:space="preserve">6th (West)</t>
  </si>
  <si>
    <t xml:space="preserve">2023</t>
  </si>
  <si>
    <t xml:space="preserve">Matt Rhule</t>
  </si>
  <si>
    <t xml:space="preserve">T–4th (West)</t>
  </si>
  <si>
    <t xml:space="preserve">2024</t>
  </si>
  <si>
    <t xml:space="preserve">7–6</t>
  </si>
  <si>
    <t xml:space="preserve">T–12th</t>
  </si>
  <si>
    <t xml:space="preserve">W Pinstripe</t>
  </si>
  <si>
    <t xml:space="preserve">2025</t>
  </si>
  <si>
    <t xml:space="preserve">T–10th</t>
  </si>
  <si>
    <t xml:space="preserve">L Las Vegas</t>
  </si>
  <si>
    <t xml:space="preserve">2026</t>
  </si>
  <si>
    <t xml:space="preserve">2-0</t>
  </si>
  <si>
    <t xml:space="preserve">0-0</t>
  </si>
  <si>
    <t xml:space="preserve">Season</t>
  </si>
  <si>
    <t xml:space="preserve">Decade</t>
  </si>
  <si>
    <t xml:space="preserve">Head_Coach</t>
  </si>
  <si>
    <t xml:space="preserve">Conference_Era</t>
  </si>
  <si>
    <t xml:space="preserve">Wins</t>
  </si>
  <si>
    <t xml:space="preserve">Losses</t>
  </si>
  <si>
    <t xml:space="preserve">Ties</t>
  </si>
  <si>
    <t xml:space="preserve">Games</t>
  </si>
  <si>
    <t xml:space="preserve">Win_Pct</t>
  </si>
  <si>
    <t xml:space="preserve">Conf_Wins</t>
  </si>
  <si>
    <t xml:space="preserve">Conf_Losses</t>
  </si>
  <si>
    <t xml:space="preserve">Conf_Ties</t>
  </si>
  <si>
    <t xml:space="preserve">Conf_Win_Pct</t>
  </si>
  <si>
    <t xml:space="preserve">Conf_Finish</t>
  </si>
  <si>
    <t xml:space="preserve">Finish_Tied</t>
  </si>
  <si>
    <t xml:space="preserve">Division</t>
  </si>
  <si>
    <t xml:space="preserve">Bowl_Game</t>
  </si>
  <si>
    <t xml:space="preserve">Bowl_Name</t>
  </si>
  <si>
    <t xml:space="preserve">Bowl_Result</t>
  </si>
  <si>
    <t xml:space="preserve">Major_Bowl</t>
  </si>
  <si>
    <t xml:space="preserve">AP_Final_Rank</t>
  </si>
  <si>
    <t xml:space="preserve">Coaches_Final_Rank</t>
  </si>
  <si>
    <t xml:space="preserve">AP_Ranked</t>
  </si>
  <si>
    <t xml:space="preserve">Winning_Season</t>
  </si>
  <si>
    <t xml:space="preserve">1890s</t>
  </si>
  <si>
    <t xml:space="preserve">No</t>
  </si>
  <si>
    <t xml:space="preserve">Yes</t>
  </si>
  <si>
    <t xml:space="preserve">WIUFA (1892-97)</t>
  </si>
  <si>
    <t xml:space="preserve">1900s</t>
  </si>
  <si>
    <t xml:space="preserve">MVIAA / Big Six-Seven (1907-61)</t>
  </si>
  <si>
    <t xml:space="preserve">1910s</t>
  </si>
  <si>
    <t xml:space="preserve">1920s</t>
  </si>
  <si>
    <t xml:space="preserve">1930s</t>
  </si>
  <si>
    <t xml:space="preserve">1940s</t>
  </si>
  <si>
    <t xml:space="preserve">Rose</t>
  </si>
  <si>
    <t xml:space="preserve">L</t>
  </si>
  <si>
    <t xml:space="preserve">1950s</t>
  </si>
  <si>
    <t xml:space="preserve">Orange</t>
  </si>
  <si>
    <t xml:space="preserve">1960s</t>
  </si>
  <si>
    <t xml:space="preserve">Big Eight (1962-95)</t>
  </si>
  <si>
    <t xml:space="preserve">Gotham</t>
  </si>
  <si>
    <t xml:space="preserve">W</t>
  </si>
  <si>
    <t xml:space="preserve">Cotton</t>
  </si>
  <si>
    <t xml:space="preserve">Sugar</t>
  </si>
  <si>
    <t xml:space="preserve">Sun</t>
  </si>
  <si>
    <t xml:space="preserve">1970s</t>
  </si>
  <si>
    <t xml:space="preserve">Fiesta</t>
  </si>
  <si>
    <t xml:space="preserve">Astro-Bluebonnet</t>
  </si>
  <si>
    <t xml:space="preserve">Liberty</t>
  </si>
  <si>
    <t xml:space="preserve">1980s</t>
  </si>
  <si>
    <t xml:space="preserve">1990s</t>
  </si>
  <si>
    <t xml:space="preserve">Florida Citrus</t>
  </si>
  <si>
    <t xml:space="preserve">Big 12 (1996-2010)</t>
  </si>
  <si>
    <t xml:space="preserve">North</t>
  </si>
  <si>
    <t xml:space="preserve">Holiday</t>
  </si>
  <si>
    <t xml:space="preserve">2000s</t>
  </si>
  <si>
    <t xml:space="preserve">Alamo</t>
  </si>
  <si>
    <t xml:space="preserve">Independence</t>
  </si>
  <si>
    <t xml:space="preserve">Gator</t>
  </si>
  <si>
    <t xml:space="preserve">2010s</t>
  </si>
  <si>
    <t xml:space="preserve">Big Ten (2011-25)</t>
  </si>
  <si>
    <t xml:space="preserve">Legends</t>
  </si>
  <si>
    <t xml:space="preserve">Capital One</t>
  </si>
  <si>
    <t xml:space="preserve">West</t>
  </si>
  <si>
    <t xml:space="preserve">Foster Farms</t>
  </si>
  <si>
    <t xml:space="preserve">Music City</t>
  </si>
  <si>
    <t xml:space="preserve">2020s</t>
  </si>
  <si>
    <t xml:space="preserve">Pinstripe</t>
  </si>
  <si>
    <t xml:space="preserve">Las Vegas</t>
  </si>
  <si>
    <t xml:space="preserve">Step</t>
  </si>
  <si>
    <t xml:space="preserve">Cleaning action</t>
  </si>
  <si>
    <t xml:space="preserve">Removed 2026 (season in progress, 2-0 at time of pull): 137 -&gt; 136 rows</t>
  </si>
  <si>
    <t xml:space="preserve">Split W-L-T strings into numeric Wins, Losses, Ties (en dash separators normalized)</t>
  </si>
  <si>
    <t xml:space="preserve">Computed Win_Pct and Conf_Win_Pct with ties counted as half a win</t>
  </si>
  <si>
    <t xml:space="preserve">1918 conference record 0-0 (no MVIAA champion; WWI/flu) set to blank</t>
  </si>
  <si>
    <t xml:space="preserve">Stripped † BCS/Bowl Alliance markers from bowl names; split bowl into Name + W/L result</t>
  </si>
  <si>
    <t xml:space="preserve">Rankings: removed 'T-' tie prefix, converted to integers; unranked = blank</t>
  </si>
  <si>
    <t xml:space="preserve">Standing: split into numeric finish, tie flag, and division (North/Legends/West)</t>
  </si>
  <si>
    <t xml:space="preserve">Merged 'MVIAA / Big Eight' label into Big Eight; added Conference_Era and Decade groupings</t>
  </si>
  <si>
    <t xml:space="preserve">Conference name was carried down from the source table's coach/conference section headers into its own Conference_Name column during collection</t>
  </si>
  <si>
    <t xml:space="preserve">Result: 9 raw text columns -&gt; 25 typed analysis columns (numeric records, percentages, flags, groupings)</t>
  </si>
  <si>
    <t xml:space="preserve">Validation: cleaned totals 931-436-40 match the source all-time record (933-436-40) minus the 2-0 partial 2026 season</t>
  </si>
  <si>
    <t xml:space="preserve">Goal 1: Win % Over Time</t>
  </si>
  <si>
    <t xml:space="preserve">Goal: Show how Nebraska's win percentage has changed from 1890 to 2025.</t>
  </si>
  <si>
    <t xml:space="preserve">Win %</t>
  </si>
  <si>
    <t xml:space="preserve">10-Season Avg</t>
  </si>
  <si>
    <t xml:space="preserve">Story</t>
  </si>
  <si>
    <t xml:space="preserve">The 10-season average shows three big periods. Nebraska won a lot early on, then hit its low point in the 1940s and 50s (.337 average by 1951). After Bob Devaney was hired in 1962 the line shot up and peaked at .881 from 1992-2001. Since then it has gone down, and the 2016-2025 average (.423) is the lowest since 1962.</t>
  </si>
  <si>
    <t xml:space="preserve">Goal 2: Win % by Decade</t>
  </si>
  <si>
    <t xml:space="preserve">Goal: Compare win percentage by decade to find the best and worst decades.</t>
  </si>
  <si>
    <t xml:space="preserve">Seasons</t>
  </si>
  <si>
    <t xml:space="preserve">Note: 2020s = 6 seasons (2020-2025). Ties count as half a win.</t>
  </si>
  <si>
    <t xml:space="preserve">The 1990s were the best decade at .868, and the 70s, 80s, and 90s were all above .800. The 1940s were the worst (.374). Every decade since the 1990s has been worse than the one before it, and the 2020s are at .414 so far.</t>
  </si>
  <si>
    <t xml:space="preserve">Goal 3: Head Coaches Since 1962</t>
  </si>
  <si>
    <t xml:space="preserve">Goal: Compare the win percentage of every head coach since 1962.</t>
  </si>
  <si>
    <t xml:space="preserve">Head coach</t>
  </si>
  <si>
    <t xml:space="preserve">Bowl games</t>
  </si>
  <si>
    <t xml:space="preserve">Final AP ranked</t>
  </si>
  <si>
    <t xml:space="preserve">Chart label</t>
  </si>
  <si>
    <t xml:space="preserve">Coaches since 1962, sorted by win %. Interim coaches credited per source table.</t>
  </si>
  <si>
    <t xml:space="preserve">Osborne (.836) and Devaney (.829) are way ahead of everyone else. Osborne went to a bowl and finished ranked in all 25 of his seasons. Every coach since 2015 is at .500 or below, and Scott Frost (.339) is the lowest.</t>
  </si>
  <si>
    <t xml:space="preserve">Goal 4: Conference Eras</t>
  </si>
  <si>
    <t xml:space="preserve">Goal: Compare Nebraska's results in the Big Eight, Big 12, and Big Ten.</t>
  </si>
  <si>
    <t xml:space="preserve">Conference era</t>
  </si>
  <si>
    <t xml:space="preserve">Overall win %</t>
  </si>
  <si>
    <t xml:space="preserve">Conference win %</t>
  </si>
  <si>
    <t xml:space="preserve">% seasons with bowl</t>
  </si>
  <si>
    <t xml:space="preserve">% seasons final AP ranked</t>
  </si>
  <si>
    <t xml:space="preserve">Every measure goes down from the Big Eight to the Big 12 to the Big Ten. The biggest drop is in rankings: 91% of Big Eight seasons ended ranked, but only 13% of Big Ten seasons did. The drop started before the Big Ten though, since the team had bad years in 2004 and 2007.</t>
  </si>
  <si>
    <t xml:space="preserve">Goal 5: Bowl Games</t>
  </si>
  <si>
    <t xml:space="preserve">Goal: Show bowl wins and losses by decade.</t>
  </si>
  <si>
    <t xml:space="preserve">Bowl wins</t>
  </si>
  <si>
    <t xml:space="preserve">Bowl losses</t>
  </si>
  <si>
    <t xml:space="preserve">% seasons in a bowl</t>
  </si>
  <si>
    <t xml:space="preserve">Total</t>
  </si>
  <si>
    <t xml:space="preserve">Nebraska's first bowl game was the 1941 Rose Bowl (1940 season).</t>
  </si>
  <si>
    <t xml:space="preserve">Nebraska went to 35 bowl games in a row from 1969 to 2003, so the 70s, 80s, and 90s all have 10. The 1970s were the best at 7-3. The all-time bowl record is 27-28, but only 3-5 in the Big Ten. The team didn't go to a bowl from 2017 to 2023.</t>
  </si>
  <si>
    <t xml:space="preserve">Goal 6: Final AP Rankings</t>
  </si>
  <si>
    <t xml:space="preserve">Goal: Show Nebraska's final AP ranking each season to see when they were a national power.</t>
  </si>
  <si>
    <t xml:space="preserve">Final AP rank</t>
  </si>
  <si>
    <t xml:space="preserve">Seasons ranked</t>
  </si>
  <si>
    <t xml:space="preserve">Top-10 finishes</t>
  </si>
  <si>
    <t xml:space="preserve">From 1969 to 2001 Nebraska was ranked every year (33 in a row) and finished #1 four times. After 2001 the dots drop and spread out. The last time they finished ranked was 2012 (#25), so it's been 13 seasons.</t>
  </si>
</sst>
</file>

<file path=xl/styles.xml><?xml version="1.0" encoding="utf-8"?>
<styleSheet xmlns="http://schemas.openxmlformats.org/spreadsheetml/2006/main">
  <numFmts count="5">
    <numFmt numFmtId="164" formatCode="General"/>
    <numFmt numFmtId="165" formatCode="0.000"/>
    <numFmt numFmtId="166" formatCode="0"/>
    <numFmt numFmtId="167" formatCode="0%"/>
    <numFmt numFmtId="168" formatCode="0.0%"/>
  </numFmts>
  <fonts count="19">
    <font>
      <sz val="11"/>
      <color theme="1"/>
      <name val="Calibri"/>
      <family val="2"/>
      <charset val="1"/>
    </font>
    <font>
      <sz val="10"/>
      <name val="Arial"/>
      <family val="0"/>
    </font>
    <font>
      <sz val="10"/>
      <name val="Arial"/>
      <family val="0"/>
    </font>
    <font>
      <sz val="10"/>
      <name val="Arial"/>
      <family val="0"/>
    </font>
    <font>
      <b val="true"/>
      <sz val="18"/>
      <color rgb="FFC8102E"/>
      <name val="Arial"/>
      <family val="0"/>
      <charset val="1"/>
    </font>
    <font>
      <i val="true"/>
      <sz val="11"/>
      <name val="Arial"/>
      <family val="0"/>
      <charset val="1"/>
    </font>
    <font>
      <b val="true"/>
      <sz val="11"/>
      <name val="Arial"/>
      <family val="0"/>
      <charset val="1"/>
    </font>
    <font>
      <sz val="11"/>
      <name val="Arial"/>
      <family val="0"/>
      <charset val="1"/>
    </font>
    <font>
      <b val="true"/>
      <sz val="13"/>
      <color rgb="FFC8102E"/>
      <name val="Arial"/>
      <family val="0"/>
      <charset val="1"/>
    </font>
    <font>
      <b val="true"/>
      <sz val="10"/>
      <color rgb="FFFFFFFF"/>
      <name val="Arial"/>
      <family val="0"/>
      <charset val="1"/>
    </font>
    <font>
      <sz val="10"/>
      <name val="Arial"/>
      <family val="0"/>
      <charset val="1"/>
    </font>
    <font>
      <b val="true"/>
      <sz val="16"/>
      <color rgb="FFC8102E"/>
      <name val="Arial"/>
      <family val="0"/>
      <charset val="1"/>
    </font>
    <font>
      <b val="true"/>
      <sz val="12"/>
      <color rgb="FFFFFFFF"/>
      <name val="Arial"/>
      <family val="0"/>
      <charset val="1"/>
    </font>
    <font>
      <sz val="10.5"/>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name val="Arial"/>
      <family val="0"/>
      <charset val="1"/>
    </font>
    <font>
      <i val="true"/>
      <sz val="9"/>
      <name val="Arial"/>
      <family val="0"/>
      <charset val="1"/>
    </font>
  </fonts>
  <fills count="4">
    <fill>
      <patternFill patternType="none"/>
    </fill>
    <fill>
      <patternFill patternType="gray125"/>
    </fill>
    <fill>
      <patternFill patternType="solid">
        <fgColor rgb="FFC8102E"/>
        <bgColor rgb="FF993300"/>
      </patternFill>
    </fill>
    <fill>
      <patternFill patternType="solid">
        <fgColor rgb="FFF5F1E7"/>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top" textRotation="0" wrapText="tru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FFFFFF"/>
          <bgColor rgb="FF000000"/>
        </patternFill>
      </fill>
    </dxf>
  </dxfs>
  <colors>
    <indexedColors>
      <rgbColor rgb="FF000000"/>
      <rgbColor rgb="FFFFFFFF"/>
      <rgbColor rgb="FFC8102E"/>
      <rgbColor rgb="FF00FF00"/>
      <rgbColor rgb="FF0000FF"/>
      <rgbColor rgb="FFFFFF00"/>
      <rgbColor rgb="FFFF00FF"/>
      <rgbColor rgb="FF00FFFF"/>
      <rgbColor rgb="FF6E0A18"/>
      <rgbColor rgb="FF008000"/>
      <rgbColor rgb="FF000080"/>
      <rgbColor rgb="FF808000"/>
      <rgbColor rgb="FF800080"/>
      <rgbColor rgb="FF008080"/>
      <rgbColor rgb="FFBFBFBF"/>
      <rgbColor rgb="FF7F7F7F"/>
      <rgbColor rgb="FFA6A6A6"/>
      <rgbColor rgb="FF993366"/>
      <rgbColor rgb="FFF5F1E7"/>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8A0A9"/>
      <rgbColor rgb="FFCC99FF"/>
      <rgbColor rgb="FFFFCC99"/>
      <rgbColor rgb="FF3366FF"/>
      <rgbColor rgb="FF33CCCC"/>
      <rgbColor rgb="FF99CC00"/>
      <rgbColor rgb="FFFFCC00"/>
      <rgbColor rgb="FFD9A441"/>
      <rgbColor rgb="FFFF6600"/>
      <rgbColor rgb="FF666699"/>
      <rgbColor rgb="FF87878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Nebraska Win Percentage by Season, 1890-2025</a:t>
            </a:r>
          </a:p>
        </c:rich>
      </c:tx>
      <c:overlay val="0"/>
      <c:spPr>
        <a:noFill/>
        <a:ln w="0">
          <a:noFill/>
        </a:ln>
      </c:spPr>
    </c:title>
    <c:autoTitleDeleted val="0"/>
    <c:plotArea>
      <c:scatterChart>
        <c:scatterStyle val="line"/>
        <c:varyColors val="0"/>
        <c:ser>
          <c:idx val="0"/>
          <c:order val="0"/>
          <c:tx>
            <c:strRef>
              <c:f>G1_Trend!M4</c:f>
              <c:strCache>
                <c:ptCount val="1"/>
                <c:pt idx="0">
                  <c:v>Win %</c:v>
                </c:pt>
              </c:strCache>
            </c:strRef>
          </c:tx>
          <c:spPr>
            <a:solidFill>
              <a:srgbClr val="e8a0a9"/>
            </a:solidFill>
            <a:ln w="11880">
              <a:solidFill>
                <a:srgbClr val="e8a0a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G1_Trend!$L$5:$L$140</c:f>
              <c:numCache>
                <c:formatCode>General</c:formatCode>
                <c:ptCount val="136"/>
                <c:pt idx="0">
                  <c:v>1890</c:v>
                </c:pt>
                <c:pt idx="1">
                  <c:v>1891</c:v>
                </c:pt>
                <c:pt idx="2">
                  <c:v>1892</c:v>
                </c:pt>
                <c:pt idx="3">
                  <c:v>1893</c:v>
                </c:pt>
                <c:pt idx="4">
                  <c:v>1894</c:v>
                </c:pt>
                <c:pt idx="5">
                  <c:v>1895</c:v>
                </c:pt>
                <c:pt idx="6">
                  <c:v>1896</c:v>
                </c:pt>
                <c:pt idx="7">
                  <c:v>1897</c:v>
                </c:pt>
                <c:pt idx="8">
                  <c:v>1898</c:v>
                </c:pt>
                <c:pt idx="9">
                  <c:v>1899</c:v>
                </c:pt>
                <c:pt idx="10">
                  <c:v>1900</c:v>
                </c:pt>
                <c:pt idx="11">
                  <c:v>1901</c:v>
                </c:pt>
                <c:pt idx="12">
                  <c:v>1902</c:v>
                </c:pt>
                <c:pt idx="13">
                  <c:v>1903</c:v>
                </c:pt>
                <c:pt idx="14">
                  <c:v>1904</c:v>
                </c:pt>
                <c:pt idx="15">
                  <c:v>1905</c:v>
                </c:pt>
                <c:pt idx="16">
                  <c:v>1906</c:v>
                </c:pt>
                <c:pt idx="17">
                  <c:v>1907</c:v>
                </c:pt>
                <c:pt idx="18">
                  <c:v>1908</c:v>
                </c:pt>
                <c:pt idx="19">
                  <c:v>1909</c:v>
                </c:pt>
                <c:pt idx="20">
                  <c:v>1910</c:v>
                </c:pt>
                <c:pt idx="21">
                  <c:v>1911</c:v>
                </c:pt>
                <c:pt idx="22">
                  <c:v>1912</c:v>
                </c:pt>
                <c:pt idx="23">
                  <c:v>1913</c:v>
                </c:pt>
                <c:pt idx="24">
                  <c:v>1914</c:v>
                </c:pt>
                <c:pt idx="25">
                  <c:v>1915</c:v>
                </c:pt>
                <c:pt idx="26">
                  <c:v>1916</c:v>
                </c:pt>
                <c:pt idx="27">
                  <c:v>1917</c:v>
                </c:pt>
                <c:pt idx="28">
                  <c:v>1918</c:v>
                </c:pt>
                <c:pt idx="29">
                  <c:v>1919</c:v>
                </c:pt>
                <c:pt idx="30">
                  <c:v>1920</c:v>
                </c:pt>
                <c:pt idx="31">
                  <c:v>1921</c:v>
                </c:pt>
                <c:pt idx="32">
                  <c:v>1922</c:v>
                </c:pt>
                <c:pt idx="33">
                  <c:v>1923</c:v>
                </c:pt>
                <c:pt idx="34">
                  <c:v>1924</c:v>
                </c:pt>
                <c:pt idx="35">
                  <c:v>1925</c:v>
                </c:pt>
                <c:pt idx="36">
                  <c:v>1926</c:v>
                </c:pt>
                <c:pt idx="37">
                  <c:v>1927</c:v>
                </c:pt>
                <c:pt idx="38">
                  <c:v>1928</c:v>
                </c:pt>
                <c:pt idx="39">
                  <c:v>1929</c:v>
                </c:pt>
                <c:pt idx="40">
                  <c:v>1930</c:v>
                </c:pt>
                <c:pt idx="41">
                  <c:v>1931</c:v>
                </c:pt>
                <c:pt idx="42">
                  <c:v>1932</c:v>
                </c:pt>
                <c:pt idx="43">
                  <c:v>1933</c:v>
                </c:pt>
                <c:pt idx="44">
                  <c:v>1934</c:v>
                </c:pt>
                <c:pt idx="45">
                  <c:v>1935</c:v>
                </c:pt>
                <c:pt idx="46">
                  <c:v>1936</c:v>
                </c:pt>
                <c:pt idx="47">
                  <c:v>1937</c:v>
                </c:pt>
                <c:pt idx="48">
                  <c:v>1938</c:v>
                </c:pt>
                <c:pt idx="49">
                  <c:v>1939</c:v>
                </c:pt>
                <c:pt idx="50">
                  <c:v>1940</c:v>
                </c:pt>
                <c:pt idx="51">
                  <c:v>1941</c:v>
                </c:pt>
                <c:pt idx="52">
                  <c:v>1942</c:v>
                </c:pt>
                <c:pt idx="53">
                  <c:v>1943</c:v>
                </c:pt>
                <c:pt idx="54">
                  <c:v>1944</c:v>
                </c:pt>
                <c:pt idx="55">
                  <c:v>1945</c:v>
                </c:pt>
                <c:pt idx="56">
                  <c:v>1946</c:v>
                </c:pt>
                <c:pt idx="57">
                  <c:v>1947</c:v>
                </c:pt>
                <c:pt idx="58">
                  <c:v>1948</c:v>
                </c:pt>
                <c:pt idx="59">
                  <c:v>1949</c:v>
                </c:pt>
                <c:pt idx="60">
                  <c:v>1950</c:v>
                </c:pt>
                <c:pt idx="61">
                  <c:v>1951</c:v>
                </c:pt>
                <c:pt idx="62">
                  <c:v>1952</c:v>
                </c:pt>
                <c:pt idx="63">
                  <c:v>1953</c:v>
                </c:pt>
                <c:pt idx="64">
                  <c:v>1954</c:v>
                </c:pt>
                <c:pt idx="65">
                  <c:v>1955</c:v>
                </c:pt>
                <c:pt idx="66">
                  <c:v>1956</c:v>
                </c:pt>
                <c:pt idx="67">
                  <c:v>1957</c:v>
                </c:pt>
                <c:pt idx="68">
                  <c:v>1958</c:v>
                </c:pt>
                <c:pt idx="69">
                  <c:v>1959</c:v>
                </c:pt>
                <c:pt idx="70">
                  <c:v>1960</c:v>
                </c:pt>
                <c:pt idx="71">
                  <c:v>1961</c:v>
                </c:pt>
                <c:pt idx="72">
                  <c:v>1962</c:v>
                </c:pt>
                <c:pt idx="73">
                  <c:v>1963</c:v>
                </c:pt>
                <c:pt idx="74">
                  <c:v>1964</c:v>
                </c:pt>
                <c:pt idx="75">
                  <c:v>1965</c:v>
                </c:pt>
                <c:pt idx="76">
                  <c:v>1966</c:v>
                </c:pt>
                <c:pt idx="77">
                  <c:v>1967</c:v>
                </c:pt>
                <c:pt idx="78">
                  <c:v>1968</c:v>
                </c:pt>
                <c:pt idx="79">
                  <c:v>1969</c:v>
                </c:pt>
                <c:pt idx="80">
                  <c:v>1970</c:v>
                </c:pt>
                <c:pt idx="81">
                  <c:v>1971</c:v>
                </c:pt>
                <c:pt idx="82">
                  <c:v>1972</c:v>
                </c:pt>
                <c:pt idx="83">
                  <c:v>1973</c:v>
                </c:pt>
                <c:pt idx="84">
                  <c:v>1974</c:v>
                </c:pt>
                <c:pt idx="85">
                  <c:v>1975</c:v>
                </c:pt>
                <c:pt idx="86">
                  <c:v>1976</c:v>
                </c:pt>
                <c:pt idx="87">
                  <c:v>1977</c:v>
                </c:pt>
                <c:pt idx="88">
                  <c:v>1978</c:v>
                </c:pt>
                <c:pt idx="89">
                  <c:v>1979</c:v>
                </c:pt>
                <c:pt idx="90">
                  <c:v>1980</c:v>
                </c:pt>
                <c:pt idx="91">
                  <c:v>1981</c:v>
                </c:pt>
                <c:pt idx="92">
                  <c:v>1982</c:v>
                </c:pt>
                <c:pt idx="93">
                  <c:v>1983</c:v>
                </c:pt>
                <c:pt idx="94">
                  <c:v>1984</c:v>
                </c:pt>
                <c:pt idx="95">
                  <c:v>1985</c:v>
                </c:pt>
                <c:pt idx="96">
                  <c:v>1986</c:v>
                </c:pt>
                <c:pt idx="97">
                  <c:v>1987</c:v>
                </c:pt>
                <c:pt idx="98">
                  <c:v>1988</c:v>
                </c:pt>
                <c:pt idx="99">
                  <c:v>1989</c:v>
                </c:pt>
                <c:pt idx="100">
                  <c:v>1990</c:v>
                </c:pt>
                <c:pt idx="101">
                  <c:v>1991</c:v>
                </c:pt>
                <c:pt idx="102">
                  <c:v>1992</c:v>
                </c:pt>
                <c:pt idx="103">
                  <c:v>1993</c:v>
                </c:pt>
                <c:pt idx="104">
                  <c:v>1994</c:v>
                </c:pt>
                <c:pt idx="105">
                  <c:v>1995</c:v>
                </c:pt>
                <c:pt idx="106">
                  <c:v>1996</c:v>
                </c:pt>
                <c:pt idx="107">
                  <c:v>1997</c:v>
                </c:pt>
                <c:pt idx="108">
                  <c:v>1998</c:v>
                </c:pt>
                <c:pt idx="109">
                  <c:v>1999</c:v>
                </c:pt>
                <c:pt idx="110">
                  <c:v>2000</c:v>
                </c:pt>
                <c:pt idx="111">
                  <c:v>2001</c:v>
                </c:pt>
                <c:pt idx="112">
                  <c:v>2002</c:v>
                </c:pt>
                <c:pt idx="113">
                  <c:v>2003</c:v>
                </c:pt>
                <c:pt idx="114">
                  <c:v>2004</c:v>
                </c:pt>
                <c:pt idx="115">
                  <c:v>2005</c:v>
                </c:pt>
                <c:pt idx="116">
                  <c:v>2006</c:v>
                </c:pt>
                <c:pt idx="117">
                  <c:v>2007</c:v>
                </c:pt>
                <c:pt idx="118">
                  <c:v>2008</c:v>
                </c:pt>
                <c:pt idx="119">
                  <c:v>2009</c:v>
                </c:pt>
                <c:pt idx="120">
                  <c:v>2010</c:v>
                </c:pt>
                <c:pt idx="121">
                  <c:v>2011</c:v>
                </c:pt>
                <c:pt idx="122">
                  <c:v>2012</c:v>
                </c:pt>
                <c:pt idx="123">
                  <c:v>2013</c:v>
                </c:pt>
                <c:pt idx="124">
                  <c:v>2014</c:v>
                </c:pt>
                <c:pt idx="125">
                  <c:v>2015</c:v>
                </c:pt>
                <c:pt idx="126">
                  <c:v>2016</c:v>
                </c:pt>
                <c:pt idx="127">
                  <c:v>2017</c:v>
                </c:pt>
                <c:pt idx="128">
                  <c:v>2018</c:v>
                </c:pt>
                <c:pt idx="129">
                  <c:v>2019</c:v>
                </c:pt>
                <c:pt idx="130">
                  <c:v>2020</c:v>
                </c:pt>
                <c:pt idx="131">
                  <c:v>2021</c:v>
                </c:pt>
                <c:pt idx="132">
                  <c:v>2022</c:v>
                </c:pt>
                <c:pt idx="133">
                  <c:v>2023</c:v>
                </c:pt>
                <c:pt idx="134">
                  <c:v>2024</c:v>
                </c:pt>
                <c:pt idx="135">
                  <c:v>2025</c:v>
                </c:pt>
              </c:numCache>
            </c:numRef>
          </c:xVal>
          <c:yVal>
            <c:numRef>
              <c:f>G1_Trend!$M$5:$M$140</c:f>
              <c:numCache>
                <c:formatCode>0.000</c:formatCode>
                <c:ptCount val="136"/>
                <c:pt idx="0">
                  <c:v>1</c:v>
                </c:pt>
                <c:pt idx="1">
                  <c:v>0.5</c:v>
                </c:pt>
                <c:pt idx="2">
                  <c:v>0.5</c:v>
                </c:pt>
                <c:pt idx="3">
                  <c:v>0.5833</c:v>
                </c:pt>
                <c:pt idx="4">
                  <c:v>0.75</c:v>
                </c:pt>
                <c:pt idx="5">
                  <c:v>0.6667</c:v>
                </c:pt>
                <c:pt idx="6">
                  <c:v>0.65</c:v>
                </c:pt>
                <c:pt idx="7">
                  <c:v>0.8333</c:v>
                </c:pt>
                <c:pt idx="8">
                  <c:v>0.7273</c:v>
                </c:pt>
                <c:pt idx="9">
                  <c:v>0.1667</c:v>
                </c:pt>
                <c:pt idx="10">
                  <c:v>0.8125</c:v>
                </c:pt>
                <c:pt idx="11">
                  <c:v>0.75</c:v>
                </c:pt>
                <c:pt idx="12">
                  <c:v>1</c:v>
                </c:pt>
                <c:pt idx="13">
                  <c:v>1</c:v>
                </c:pt>
                <c:pt idx="14">
                  <c:v>0.7</c:v>
                </c:pt>
                <c:pt idx="15">
                  <c:v>0.8</c:v>
                </c:pt>
                <c:pt idx="16">
                  <c:v>0.6</c:v>
                </c:pt>
                <c:pt idx="17">
                  <c:v>0.8</c:v>
                </c:pt>
                <c:pt idx="18">
                  <c:v>0.75</c:v>
                </c:pt>
                <c:pt idx="19">
                  <c:v>0.5</c:v>
                </c:pt>
                <c:pt idx="20">
                  <c:v>0.875</c:v>
                </c:pt>
                <c:pt idx="21">
                  <c:v>0.75</c:v>
                </c:pt>
                <c:pt idx="22">
                  <c:v>0.875</c:v>
                </c:pt>
                <c:pt idx="23">
                  <c:v>1</c:v>
                </c:pt>
                <c:pt idx="24">
                  <c:v>0.9375</c:v>
                </c:pt>
                <c:pt idx="25">
                  <c:v>1</c:v>
                </c:pt>
                <c:pt idx="26">
                  <c:v>0.75</c:v>
                </c:pt>
                <c:pt idx="27">
                  <c:v>0.7143</c:v>
                </c:pt>
                <c:pt idx="28">
                  <c:v>0.4167</c:v>
                </c:pt>
                <c:pt idx="29">
                  <c:v>0.5</c:v>
                </c:pt>
                <c:pt idx="30">
                  <c:v>0.6111</c:v>
                </c:pt>
                <c:pt idx="31">
                  <c:v>0.875</c:v>
                </c:pt>
                <c:pt idx="32">
                  <c:v>0.875</c:v>
                </c:pt>
                <c:pt idx="33">
                  <c:v>0.625</c:v>
                </c:pt>
                <c:pt idx="34">
                  <c:v>0.625</c:v>
                </c:pt>
                <c:pt idx="35">
                  <c:v>0.625</c:v>
                </c:pt>
                <c:pt idx="36">
                  <c:v>0.75</c:v>
                </c:pt>
                <c:pt idx="37">
                  <c:v>0.75</c:v>
                </c:pt>
                <c:pt idx="38">
                  <c:v>0.8333</c:v>
                </c:pt>
                <c:pt idx="39">
                  <c:v>0.6875</c:v>
                </c:pt>
                <c:pt idx="40">
                  <c:v>0.5556</c:v>
                </c:pt>
                <c:pt idx="41">
                  <c:v>0.8</c:v>
                </c:pt>
                <c:pt idx="42">
                  <c:v>0.8333</c:v>
                </c:pt>
                <c:pt idx="43">
                  <c:v>0.8889</c:v>
                </c:pt>
                <c:pt idx="44">
                  <c:v>0.6667</c:v>
                </c:pt>
                <c:pt idx="45">
                  <c:v>0.7222</c:v>
                </c:pt>
                <c:pt idx="46">
                  <c:v>0.7778</c:v>
                </c:pt>
                <c:pt idx="47">
                  <c:v>0.7778</c:v>
                </c:pt>
                <c:pt idx="48">
                  <c:v>0.3889</c:v>
                </c:pt>
                <c:pt idx="49">
                  <c:v>0.8333</c:v>
                </c:pt>
                <c:pt idx="50">
                  <c:v>0.8</c:v>
                </c:pt>
                <c:pt idx="51">
                  <c:v>0.4444</c:v>
                </c:pt>
                <c:pt idx="52">
                  <c:v>0.3</c:v>
                </c:pt>
                <c:pt idx="53">
                  <c:v>0.25</c:v>
                </c:pt>
                <c:pt idx="54">
                  <c:v>0.25</c:v>
                </c:pt>
                <c:pt idx="55">
                  <c:v>0.4444</c:v>
                </c:pt>
                <c:pt idx="56">
                  <c:v>0.3333</c:v>
                </c:pt>
                <c:pt idx="57">
                  <c:v>0.2222</c:v>
                </c:pt>
                <c:pt idx="58">
                  <c:v>0.2</c:v>
                </c:pt>
                <c:pt idx="59">
                  <c:v>0.4444</c:v>
                </c:pt>
                <c:pt idx="60">
                  <c:v>0.7222</c:v>
                </c:pt>
                <c:pt idx="61">
                  <c:v>0.2</c:v>
                </c:pt>
                <c:pt idx="62">
                  <c:v>0.55</c:v>
                </c:pt>
                <c:pt idx="63">
                  <c:v>0.35</c:v>
                </c:pt>
                <c:pt idx="64">
                  <c:v>0.5455</c:v>
                </c:pt>
                <c:pt idx="65">
                  <c:v>0.5</c:v>
                </c:pt>
                <c:pt idx="66">
                  <c:v>0.4</c:v>
                </c:pt>
                <c:pt idx="67">
                  <c:v>0.1</c:v>
                </c:pt>
                <c:pt idx="68">
                  <c:v>0.3</c:v>
                </c:pt>
                <c:pt idx="69">
                  <c:v>0.4</c:v>
                </c:pt>
                <c:pt idx="70">
                  <c:v>0.4</c:v>
                </c:pt>
                <c:pt idx="71">
                  <c:v>0.35</c:v>
                </c:pt>
                <c:pt idx="72">
                  <c:v>0.8182</c:v>
                </c:pt>
                <c:pt idx="73">
                  <c:v>0.9091</c:v>
                </c:pt>
                <c:pt idx="74">
                  <c:v>0.8182</c:v>
                </c:pt>
                <c:pt idx="75">
                  <c:v>0.9091</c:v>
                </c:pt>
                <c:pt idx="76">
                  <c:v>0.8182</c:v>
                </c:pt>
                <c:pt idx="77">
                  <c:v>0.6</c:v>
                </c:pt>
                <c:pt idx="78">
                  <c:v>0.6</c:v>
                </c:pt>
                <c:pt idx="79">
                  <c:v>0.8182</c:v>
                </c:pt>
                <c:pt idx="80">
                  <c:v>0.9583</c:v>
                </c:pt>
                <c:pt idx="81">
                  <c:v>1</c:v>
                </c:pt>
                <c:pt idx="82">
                  <c:v>0.7917</c:v>
                </c:pt>
                <c:pt idx="83">
                  <c:v>0.7917</c:v>
                </c:pt>
                <c:pt idx="84">
                  <c:v>0.75</c:v>
                </c:pt>
                <c:pt idx="85">
                  <c:v>0.8333</c:v>
                </c:pt>
                <c:pt idx="86">
                  <c:v>0.7308</c:v>
                </c:pt>
                <c:pt idx="87">
                  <c:v>0.75</c:v>
                </c:pt>
                <c:pt idx="88">
                  <c:v>0.75</c:v>
                </c:pt>
                <c:pt idx="89">
                  <c:v>0.8333</c:v>
                </c:pt>
                <c:pt idx="90">
                  <c:v>0.8333</c:v>
                </c:pt>
                <c:pt idx="91">
                  <c:v>0.75</c:v>
                </c:pt>
                <c:pt idx="92">
                  <c:v>0.9231</c:v>
                </c:pt>
                <c:pt idx="93">
                  <c:v>0.9231</c:v>
                </c:pt>
                <c:pt idx="94">
                  <c:v>0.8333</c:v>
                </c:pt>
                <c:pt idx="95">
                  <c:v>0.75</c:v>
                </c:pt>
                <c:pt idx="96">
                  <c:v>0.8333</c:v>
                </c:pt>
                <c:pt idx="97">
                  <c:v>0.8333</c:v>
                </c:pt>
                <c:pt idx="98">
                  <c:v>0.8462</c:v>
                </c:pt>
                <c:pt idx="99">
                  <c:v>0.8333</c:v>
                </c:pt>
                <c:pt idx="100">
                  <c:v>0.75</c:v>
                </c:pt>
                <c:pt idx="101">
                  <c:v>0.7917</c:v>
                </c:pt>
                <c:pt idx="102">
                  <c:v>0.75</c:v>
                </c:pt>
                <c:pt idx="103">
                  <c:v>0.9167</c:v>
                </c:pt>
                <c:pt idx="104">
                  <c:v>1</c:v>
                </c:pt>
                <c:pt idx="105">
                  <c:v>1</c:v>
                </c:pt>
                <c:pt idx="106">
                  <c:v>0.8462</c:v>
                </c:pt>
                <c:pt idx="107">
                  <c:v>1</c:v>
                </c:pt>
                <c:pt idx="108">
                  <c:v>0.6923</c:v>
                </c:pt>
                <c:pt idx="109">
                  <c:v>0.9231</c:v>
                </c:pt>
                <c:pt idx="110">
                  <c:v>0.8333</c:v>
                </c:pt>
                <c:pt idx="111">
                  <c:v>0.8462</c:v>
                </c:pt>
                <c:pt idx="112">
                  <c:v>0.5</c:v>
                </c:pt>
                <c:pt idx="113">
                  <c:v>0.7692</c:v>
                </c:pt>
                <c:pt idx="114">
                  <c:v>0.4545</c:v>
                </c:pt>
                <c:pt idx="115">
                  <c:v>0.6667</c:v>
                </c:pt>
                <c:pt idx="116">
                  <c:v>0.6429</c:v>
                </c:pt>
                <c:pt idx="117">
                  <c:v>0.4167</c:v>
                </c:pt>
                <c:pt idx="118">
                  <c:v>0.6923</c:v>
                </c:pt>
                <c:pt idx="119">
                  <c:v>0.7143</c:v>
                </c:pt>
                <c:pt idx="120">
                  <c:v>0.7143</c:v>
                </c:pt>
                <c:pt idx="121">
                  <c:v>0.6923</c:v>
                </c:pt>
                <c:pt idx="122">
                  <c:v>0.7143</c:v>
                </c:pt>
                <c:pt idx="123">
                  <c:v>0.6923</c:v>
                </c:pt>
                <c:pt idx="124">
                  <c:v>0.6923</c:v>
                </c:pt>
                <c:pt idx="125">
                  <c:v>0.4615</c:v>
                </c:pt>
                <c:pt idx="126">
                  <c:v>0.6923</c:v>
                </c:pt>
                <c:pt idx="127">
                  <c:v>0.3333</c:v>
                </c:pt>
                <c:pt idx="128">
                  <c:v>0.3333</c:v>
                </c:pt>
                <c:pt idx="129">
                  <c:v>0.4167</c:v>
                </c:pt>
                <c:pt idx="130">
                  <c:v>0.375</c:v>
                </c:pt>
                <c:pt idx="131">
                  <c:v>0.25</c:v>
                </c:pt>
                <c:pt idx="132">
                  <c:v>0.3333</c:v>
                </c:pt>
                <c:pt idx="133">
                  <c:v>0.4167</c:v>
                </c:pt>
                <c:pt idx="134">
                  <c:v>0.5385</c:v>
                </c:pt>
                <c:pt idx="135">
                  <c:v>0.5385</c:v>
                </c:pt>
              </c:numCache>
            </c:numRef>
          </c:yVal>
          <c:smooth val="0"/>
        </c:ser>
        <c:ser>
          <c:idx val="1"/>
          <c:order val="1"/>
          <c:tx>
            <c:strRef>
              <c:f>G1_Trend!N4</c:f>
              <c:strCache>
                <c:ptCount val="1"/>
                <c:pt idx="0">
                  <c:v>10-Season Avg</c:v>
                </c:pt>
              </c:strCache>
            </c:strRef>
          </c:tx>
          <c:spPr>
            <a:solidFill>
              <a:srgbClr val="c8102e"/>
            </a:solidFill>
            <a:ln w="38160">
              <a:solidFill>
                <a:srgbClr val="c8102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G1_Trend!$L$5:$L$140</c:f>
              <c:numCache>
                <c:formatCode>General</c:formatCode>
                <c:ptCount val="136"/>
                <c:pt idx="0">
                  <c:v>1890</c:v>
                </c:pt>
                <c:pt idx="1">
                  <c:v>1891</c:v>
                </c:pt>
                <c:pt idx="2">
                  <c:v>1892</c:v>
                </c:pt>
                <c:pt idx="3">
                  <c:v>1893</c:v>
                </c:pt>
                <c:pt idx="4">
                  <c:v>1894</c:v>
                </c:pt>
                <c:pt idx="5">
                  <c:v>1895</c:v>
                </c:pt>
                <c:pt idx="6">
                  <c:v>1896</c:v>
                </c:pt>
                <c:pt idx="7">
                  <c:v>1897</c:v>
                </c:pt>
                <c:pt idx="8">
                  <c:v>1898</c:v>
                </c:pt>
                <c:pt idx="9">
                  <c:v>1899</c:v>
                </c:pt>
                <c:pt idx="10">
                  <c:v>1900</c:v>
                </c:pt>
                <c:pt idx="11">
                  <c:v>1901</c:v>
                </c:pt>
                <c:pt idx="12">
                  <c:v>1902</c:v>
                </c:pt>
                <c:pt idx="13">
                  <c:v>1903</c:v>
                </c:pt>
                <c:pt idx="14">
                  <c:v>1904</c:v>
                </c:pt>
                <c:pt idx="15">
                  <c:v>1905</c:v>
                </c:pt>
                <c:pt idx="16">
                  <c:v>1906</c:v>
                </c:pt>
                <c:pt idx="17">
                  <c:v>1907</c:v>
                </c:pt>
                <c:pt idx="18">
                  <c:v>1908</c:v>
                </c:pt>
                <c:pt idx="19">
                  <c:v>1909</c:v>
                </c:pt>
                <c:pt idx="20">
                  <c:v>1910</c:v>
                </c:pt>
                <c:pt idx="21">
                  <c:v>1911</c:v>
                </c:pt>
                <c:pt idx="22">
                  <c:v>1912</c:v>
                </c:pt>
                <c:pt idx="23">
                  <c:v>1913</c:v>
                </c:pt>
                <c:pt idx="24">
                  <c:v>1914</c:v>
                </c:pt>
                <c:pt idx="25">
                  <c:v>1915</c:v>
                </c:pt>
                <c:pt idx="26">
                  <c:v>1916</c:v>
                </c:pt>
                <c:pt idx="27">
                  <c:v>1917</c:v>
                </c:pt>
                <c:pt idx="28">
                  <c:v>1918</c:v>
                </c:pt>
                <c:pt idx="29">
                  <c:v>1919</c:v>
                </c:pt>
                <c:pt idx="30">
                  <c:v>1920</c:v>
                </c:pt>
                <c:pt idx="31">
                  <c:v>1921</c:v>
                </c:pt>
                <c:pt idx="32">
                  <c:v>1922</c:v>
                </c:pt>
                <c:pt idx="33">
                  <c:v>1923</c:v>
                </c:pt>
                <c:pt idx="34">
                  <c:v>1924</c:v>
                </c:pt>
                <c:pt idx="35">
                  <c:v>1925</c:v>
                </c:pt>
                <c:pt idx="36">
                  <c:v>1926</c:v>
                </c:pt>
                <c:pt idx="37">
                  <c:v>1927</c:v>
                </c:pt>
                <c:pt idx="38">
                  <c:v>1928</c:v>
                </c:pt>
                <c:pt idx="39">
                  <c:v>1929</c:v>
                </c:pt>
                <c:pt idx="40">
                  <c:v>1930</c:v>
                </c:pt>
                <c:pt idx="41">
                  <c:v>1931</c:v>
                </c:pt>
                <c:pt idx="42">
                  <c:v>1932</c:v>
                </c:pt>
                <c:pt idx="43">
                  <c:v>1933</c:v>
                </c:pt>
                <c:pt idx="44">
                  <c:v>1934</c:v>
                </c:pt>
                <c:pt idx="45">
                  <c:v>1935</c:v>
                </c:pt>
                <c:pt idx="46">
                  <c:v>1936</c:v>
                </c:pt>
                <c:pt idx="47">
                  <c:v>1937</c:v>
                </c:pt>
                <c:pt idx="48">
                  <c:v>1938</c:v>
                </c:pt>
                <c:pt idx="49">
                  <c:v>1939</c:v>
                </c:pt>
                <c:pt idx="50">
                  <c:v>1940</c:v>
                </c:pt>
                <c:pt idx="51">
                  <c:v>1941</c:v>
                </c:pt>
                <c:pt idx="52">
                  <c:v>1942</c:v>
                </c:pt>
                <c:pt idx="53">
                  <c:v>1943</c:v>
                </c:pt>
                <c:pt idx="54">
                  <c:v>1944</c:v>
                </c:pt>
                <c:pt idx="55">
                  <c:v>1945</c:v>
                </c:pt>
                <c:pt idx="56">
                  <c:v>1946</c:v>
                </c:pt>
                <c:pt idx="57">
                  <c:v>1947</c:v>
                </c:pt>
                <c:pt idx="58">
                  <c:v>1948</c:v>
                </c:pt>
                <c:pt idx="59">
                  <c:v>1949</c:v>
                </c:pt>
                <c:pt idx="60">
                  <c:v>1950</c:v>
                </c:pt>
                <c:pt idx="61">
                  <c:v>1951</c:v>
                </c:pt>
                <c:pt idx="62">
                  <c:v>1952</c:v>
                </c:pt>
                <c:pt idx="63">
                  <c:v>1953</c:v>
                </c:pt>
                <c:pt idx="64">
                  <c:v>1954</c:v>
                </c:pt>
                <c:pt idx="65">
                  <c:v>1955</c:v>
                </c:pt>
                <c:pt idx="66">
                  <c:v>1956</c:v>
                </c:pt>
                <c:pt idx="67">
                  <c:v>1957</c:v>
                </c:pt>
                <c:pt idx="68">
                  <c:v>1958</c:v>
                </c:pt>
                <c:pt idx="69">
                  <c:v>1959</c:v>
                </c:pt>
                <c:pt idx="70">
                  <c:v>1960</c:v>
                </c:pt>
                <c:pt idx="71">
                  <c:v>1961</c:v>
                </c:pt>
                <c:pt idx="72">
                  <c:v>1962</c:v>
                </c:pt>
                <c:pt idx="73">
                  <c:v>1963</c:v>
                </c:pt>
                <c:pt idx="74">
                  <c:v>1964</c:v>
                </c:pt>
                <c:pt idx="75">
                  <c:v>1965</c:v>
                </c:pt>
                <c:pt idx="76">
                  <c:v>1966</c:v>
                </c:pt>
                <c:pt idx="77">
                  <c:v>1967</c:v>
                </c:pt>
                <c:pt idx="78">
                  <c:v>1968</c:v>
                </c:pt>
                <c:pt idx="79">
                  <c:v>1969</c:v>
                </c:pt>
                <c:pt idx="80">
                  <c:v>1970</c:v>
                </c:pt>
                <c:pt idx="81">
                  <c:v>1971</c:v>
                </c:pt>
                <c:pt idx="82">
                  <c:v>1972</c:v>
                </c:pt>
                <c:pt idx="83">
                  <c:v>1973</c:v>
                </c:pt>
                <c:pt idx="84">
                  <c:v>1974</c:v>
                </c:pt>
                <c:pt idx="85">
                  <c:v>1975</c:v>
                </c:pt>
                <c:pt idx="86">
                  <c:v>1976</c:v>
                </c:pt>
                <c:pt idx="87">
                  <c:v>1977</c:v>
                </c:pt>
                <c:pt idx="88">
                  <c:v>1978</c:v>
                </c:pt>
                <c:pt idx="89">
                  <c:v>1979</c:v>
                </c:pt>
                <c:pt idx="90">
                  <c:v>1980</c:v>
                </c:pt>
                <c:pt idx="91">
                  <c:v>1981</c:v>
                </c:pt>
                <c:pt idx="92">
                  <c:v>1982</c:v>
                </c:pt>
                <c:pt idx="93">
                  <c:v>1983</c:v>
                </c:pt>
                <c:pt idx="94">
                  <c:v>1984</c:v>
                </c:pt>
                <c:pt idx="95">
                  <c:v>1985</c:v>
                </c:pt>
                <c:pt idx="96">
                  <c:v>1986</c:v>
                </c:pt>
                <c:pt idx="97">
                  <c:v>1987</c:v>
                </c:pt>
                <c:pt idx="98">
                  <c:v>1988</c:v>
                </c:pt>
                <c:pt idx="99">
                  <c:v>1989</c:v>
                </c:pt>
                <c:pt idx="100">
                  <c:v>1990</c:v>
                </c:pt>
                <c:pt idx="101">
                  <c:v>1991</c:v>
                </c:pt>
                <c:pt idx="102">
                  <c:v>1992</c:v>
                </c:pt>
                <c:pt idx="103">
                  <c:v>1993</c:v>
                </c:pt>
                <c:pt idx="104">
                  <c:v>1994</c:v>
                </c:pt>
                <c:pt idx="105">
                  <c:v>1995</c:v>
                </c:pt>
                <c:pt idx="106">
                  <c:v>1996</c:v>
                </c:pt>
                <c:pt idx="107">
                  <c:v>1997</c:v>
                </c:pt>
                <c:pt idx="108">
                  <c:v>1998</c:v>
                </c:pt>
                <c:pt idx="109">
                  <c:v>1999</c:v>
                </c:pt>
                <c:pt idx="110">
                  <c:v>2000</c:v>
                </c:pt>
                <c:pt idx="111">
                  <c:v>2001</c:v>
                </c:pt>
                <c:pt idx="112">
                  <c:v>2002</c:v>
                </c:pt>
                <c:pt idx="113">
                  <c:v>2003</c:v>
                </c:pt>
                <c:pt idx="114">
                  <c:v>2004</c:v>
                </c:pt>
                <c:pt idx="115">
                  <c:v>2005</c:v>
                </c:pt>
                <c:pt idx="116">
                  <c:v>2006</c:v>
                </c:pt>
                <c:pt idx="117">
                  <c:v>2007</c:v>
                </c:pt>
                <c:pt idx="118">
                  <c:v>2008</c:v>
                </c:pt>
                <c:pt idx="119">
                  <c:v>2009</c:v>
                </c:pt>
                <c:pt idx="120">
                  <c:v>2010</c:v>
                </c:pt>
                <c:pt idx="121">
                  <c:v>2011</c:v>
                </c:pt>
                <c:pt idx="122">
                  <c:v>2012</c:v>
                </c:pt>
                <c:pt idx="123">
                  <c:v>2013</c:v>
                </c:pt>
                <c:pt idx="124">
                  <c:v>2014</c:v>
                </c:pt>
                <c:pt idx="125">
                  <c:v>2015</c:v>
                </c:pt>
                <c:pt idx="126">
                  <c:v>2016</c:v>
                </c:pt>
                <c:pt idx="127">
                  <c:v>2017</c:v>
                </c:pt>
                <c:pt idx="128">
                  <c:v>2018</c:v>
                </c:pt>
                <c:pt idx="129">
                  <c:v>2019</c:v>
                </c:pt>
                <c:pt idx="130">
                  <c:v>2020</c:v>
                </c:pt>
                <c:pt idx="131">
                  <c:v>2021</c:v>
                </c:pt>
                <c:pt idx="132">
                  <c:v>2022</c:v>
                </c:pt>
                <c:pt idx="133">
                  <c:v>2023</c:v>
                </c:pt>
                <c:pt idx="134">
                  <c:v>2024</c:v>
                </c:pt>
                <c:pt idx="135">
                  <c:v>2025</c:v>
                </c:pt>
              </c:numCache>
            </c:numRef>
          </c:xVal>
          <c:yVal>
            <c:numRef>
              <c:f>G1_Trend!$N$5:$N$140</c:f>
              <c:numCache>
                <c:formatCode>0.000</c:formatCode>
                <c:ptCount val="136"/>
                <c:pt idx="9">
                  <c:v>0.63773</c:v>
                </c:pt>
                <c:pt idx="10">
                  <c:v>0.61898</c:v>
                </c:pt>
                <c:pt idx="11">
                  <c:v>0.64398</c:v>
                </c:pt>
                <c:pt idx="12">
                  <c:v>0.69398</c:v>
                </c:pt>
                <c:pt idx="13">
                  <c:v>0.73565</c:v>
                </c:pt>
                <c:pt idx="14">
                  <c:v>0.73065</c:v>
                </c:pt>
                <c:pt idx="15">
                  <c:v>0.74398</c:v>
                </c:pt>
                <c:pt idx="16">
                  <c:v>0.73898</c:v>
                </c:pt>
                <c:pt idx="17">
                  <c:v>0.73565</c:v>
                </c:pt>
                <c:pt idx="18">
                  <c:v>0.73792</c:v>
                </c:pt>
                <c:pt idx="19">
                  <c:v>0.77125</c:v>
                </c:pt>
                <c:pt idx="20">
                  <c:v>0.7775</c:v>
                </c:pt>
                <c:pt idx="21">
                  <c:v>0.7775</c:v>
                </c:pt>
                <c:pt idx="22">
                  <c:v>0.765</c:v>
                </c:pt>
                <c:pt idx="23">
                  <c:v>0.765</c:v>
                </c:pt>
                <c:pt idx="24">
                  <c:v>0.78875</c:v>
                </c:pt>
                <c:pt idx="25">
                  <c:v>0.80875</c:v>
                </c:pt>
                <c:pt idx="26">
                  <c:v>0.82375</c:v>
                </c:pt>
                <c:pt idx="27">
                  <c:v>0.81518</c:v>
                </c:pt>
                <c:pt idx="28">
                  <c:v>0.78185</c:v>
                </c:pt>
                <c:pt idx="29">
                  <c:v>0.78185</c:v>
                </c:pt>
                <c:pt idx="30">
                  <c:v>0.75546</c:v>
                </c:pt>
                <c:pt idx="31">
                  <c:v>0.76796</c:v>
                </c:pt>
                <c:pt idx="32">
                  <c:v>0.76796</c:v>
                </c:pt>
                <c:pt idx="33">
                  <c:v>0.73046</c:v>
                </c:pt>
                <c:pt idx="34">
                  <c:v>0.69921</c:v>
                </c:pt>
                <c:pt idx="35">
                  <c:v>0.66171</c:v>
                </c:pt>
                <c:pt idx="36">
                  <c:v>0.66171</c:v>
                </c:pt>
                <c:pt idx="37">
                  <c:v>0.66528</c:v>
                </c:pt>
                <c:pt idx="38">
                  <c:v>0.70694</c:v>
                </c:pt>
                <c:pt idx="39">
                  <c:v>0.72569</c:v>
                </c:pt>
                <c:pt idx="40">
                  <c:v>0.72014</c:v>
                </c:pt>
                <c:pt idx="41">
                  <c:v>0.71264</c:v>
                </c:pt>
                <c:pt idx="42">
                  <c:v>0.70847</c:v>
                </c:pt>
                <c:pt idx="43">
                  <c:v>0.73486</c:v>
                </c:pt>
                <c:pt idx="44">
                  <c:v>0.73903</c:v>
                </c:pt>
                <c:pt idx="45">
                  <c:v>0.74875</c:v>
                </c:pt>
                <c:pt idx="46">
                  <c:v>0.75153</c:v>
                </c:pt>
                <c:pt idx="47">
                  <c:v>0.75431</c:v>
                </c:pt>
                <c:pt idx="48">
                  <c:v>0.70987</c:v>
                </c:pt>
                <c:pt idx="49">
                  <c:v>0.72445</c:v>
                </c:pt>
                <c:pt idx="50">
                  <c:v>0.74889</c:v>
                </c:pt>
                <c:pt idx="51">
                  <c:v>0.71333</c:v>
                </c:pt>
                <c:pt idx="52">
                  <c:v>0.66</c:v>
                </c:pt>
                <c:pt idx="53">
                  <c:v>0.59611</c:v>
                </c:pt>
                <c:pt idx="54">
                  <c:v>0.55444</c:v>
                </c:pt>
                <c:pt idx="55">
                  <c:v>0.52666</c:v>
                </c:pt>
                <c:pt idx="56">
                  <c:v>0.48221</c:v>
                </c:pt>
                <c:pt idx="57">
                  <c:v>0.42665</c:v>
                </c:pt>
                <c:pt idx="58">
                  <c:v>0.40776</c:v>
                </c:pt>
                <c:pt idx="59">
                  <c:v>0.36887</c:v>
                </c:pt>
                <c:pt idx="60">
                  <c:v>0.36109</c:v>
                </c:pt>
                <c:pt idx="61">
                  <c:v>0.33665</c:v>
                </c:pt>
                <c:pt idx="62">
                  <c:v>0.36165</c:v>
                </c:pt>
                <c:pt idx="63">
                  <c:v>0.37165</c:v>
                </c:pt>
                <c:pt idx="64">
                  <c:v>0.4012</c:v>
                </c:pt>
                <c:pt idx="65">
                  <c:v>0.40676</c:v>
                </c:pt>
                <c:pt idx="66">
                  <c:v>0.41343</c:v>
                </c:pt>
                <c:pt idx="67">
                  <c:v>0.40121</c:v>
                </c:pt>
                <c:pt idx="68">
                  <c:v>0.41121</c:v>
                </c:pt>
                <c:pt idx="69">
                  <c:v>0.40677</c:v>
                </c:pt>
                <c:pt idx="70">
                  <c:v>0.37455</c:v>
                </c:pt>
                <c:pt idx="71">
                  <c:v>0.38955</c:v>
                </c:pt>
                <c:pt idx="72">
                  <c:v>0.41637</c:v>
                </c:pt>
                <c:pt idx="73">
                  <c:v>0.47228</c:v>
                </c:pt>
                <c:pt idx="74">
                  <c:v>0.49955</c:v>
                </c:pt>
                <c:pt idx="75">
                  <c:v>0.54046</c:v>
                </c:pt>
                <c:pt idx="76">
                  <c:v>0.58228</c:v>
                </c:pt>
                <c:pt idx="77">
                  <c:v>0.63228</c:v>
                </c:pt>
                <c:pt idx="78">
                  <c:v>0.66228</c:v>
                </c:pt>
                <c:pt idx="79">
                  <c:v>0.7041</c:v>
                </c:pt>
                <c:pt idx="80">
                  <c:v>0.75993</c:v>
                </c:pt>
                <c:pt idx="81">
                  <c:v>0.82493</c:v>
                </c:pt>
                <c:pt idx="82">
                  <c:v>0.82228</c:v>
                </c:pt>
                <c:pt idx="83">
                  <c:v>0.81054</c:v>
                </c:pt>
                <c:pt idx="84">
                  <c:v>0.80372</c:v>
                </c:pt>
                <c:pt idx="85">
                  <c:v>0.79614</c:v>
                </c:pt>
                <c:pt idx="86">
                  <c:v>0.7874</c:v>
                </c:pt>
                <c:pt idx="87">
                  <c:v>0.8024</c:v>
                </c:pt>
                <c:pt idx="88">
                  <c:v>0.8174</c:v>
                </c:pt>
                <c:pt idx="89">
                  <c:v>0.81891</c:v>
                </c:pt>
                <c:pt idx="90">
                  <c:v>0.80641</c:v>
                </c:pt>
                <c:pt idx="91">
                  <c:v>0.78141</c:v>
                </c:pt>
                <c:pt idx="92">
                  <c:v>0.79455</c:v>
                </c:pt>
                <c:pt idx="93">
                  <c:v>0.80769</c:v>
                </c:pt>
                <c:pt idx="94">
                  <c:v>0.81602</c:v>
                </c:pt>
                <c:pt idx="95">
                  <c:v>0.80769</c:v>
                </c:pt>
                <c:pt idx="96">
                  <c:v>0.81794</c:v>
                </c:pt>
                <c:pt idx="97">
                  <c:v>0.82627</c:v>
                </c:pt>
                <c:pt idx="98">
                  <c:v>0.83589</c:v>
                </c:pt>
                <c:pt idx="99">
                  <c:v>0.83589</c:v>
                </c:pt>
                <c:pt idx="100">
                  <c:v>0.82756</c:v>
                </c:pt>
                <c:pt idx="101">
                  <c:v>0.83173</c:v>
                </c:pt>
                <c:pt idx="102">
                  <c:v>0.81442</c:v>
                </c:pt>
                <c:pt idx="103">
                  <c:v>0.81378</c:v>
                </c:pt>
                <c:pt idx="104">
                  <c:v>0.83045</c:v>
                </c:pt>
                <c:pt idx="105">
                  <c:v>0.85545</c:v>
                </c:pt>
                <c:pt idx="106">
                  <c:v>0.85674</c:v>
                </c:pt>
                <c:pt idx="107">
                  <c:v>0.87341</c:v>
                </c:pt>
                <c:pt idx="108">
                  <c:v>0.85802</c:v>
                </c:pt>
                <c:pt idx="109">
                  <c:v>0.867</c:v>
                </c:pt>
                <c:pt idx="110">
                  <c:v>0.87533</c:v>
                </c:pt>
                <c:pt idx="111">
                  <c:v>0.88078</c:v>
                </c:pt>
                <c:pt idx="112">
                  <c:v>0.85578</c:v>
                </c:pt>
                <c:pt idx="113">
                  <c:v>0.84103</c:v>
                </c:pt>
                <c:pt idx="114">
                  <c:v>0.78648</c:v>
                </c:pt>
                <c:pt idx="115">
                  <c:v>0.75315</c:v>
                </c:pt>
                <c:pt idx="116">
                  <c:v>0.73282</c:v>
                </c:pt>
                <c:pt idx="117">
                  <c:v>0.67449</c:v>
                </c:pt>
                <c:pt idx="118">
                  <c:v>0.67449</c:v>
                </c:pt>
                <c:pt idx="119">
                  <c:v>0.65361</c:v>
                </c:pt>
                <c:pt idx="120">
                  <c:v>0.64171</c:v>
                </c:pt>
                <c:pt idx="121">
                  <c:v>0.62632</c:v>
                </c:pt>
                <c:pt idx="122">
                  <c:v>0.64775</c:v>
                </c:pt>
                <c:pt idx="123">
                  <c:v>0.64006</c:v>
                </c:pt>
                <c:pt idx="124">
                  <c:v>0.66384</c:v>
                </c:pt>
                <c:pt idx="125">
                  <c:v>0.64332</c:v>
                </c:pt>
                <c:pt idx="126">
                  <c:v>0.64826</c:v>
                </c:pt>
                <c:pt idx="127">
                  <c:v>0.63992</c:v>
                </c:pt>
                <c:pt idx="128">
                  <c:v>0.60402</c:v>
                </c:pt>
                <c:pt idx="129">
                  <c:v>0.57426</c:v>
                </c:pt>
                <c:pt idx="130">
                  <c:v>0.54033</c:v>
                </c:pt>
                <c:pt idx="131">
                  <c:v>0.4961</c:v>
                </c:pt>
                <c:pt idx="132">
                  <c:v>0.458</c:v>
                </c:pt>
                <c:pt idx="133">
                  <c:v>0.43044</c:v>
                </c:pt>
                <c:pt idx="134">
                  <c:v>0.41506</c:v>
                </c:pt>
                <c:pt idx="135">
                  <c:v>0.42276</c:v>
                </c:pt>
              </c:numCache>
            </c:numRef>
          </c:yVal>
          <c:smooth val="0"/>
        </c:ser>
        <c:axId val="35371545"/>
        <c:axId val="35636266"/>
      </c:scatterChart>
      <c:valAx>
        <c:axId val="35371545"/>
        <c:scaling>
          <c:orientation val="minMax"/>
          <c:max val="2030"/>
          <c:min val="1890"/>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Season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636266"/>
        <c:crosses val="autoZero"/>
        <c:crossBetween val="midCat"/>
        <c:majorUnit val="10"/>
      </c:valAx>
      <c:valAx>
        <c:axId val="35636266"/>
        <c:scaling>
          <c:orientation val="minMax"/>
          <c:max val="1"/>
          <c:min val="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Win percentage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371545"/>
        <c:crosses val="autoZero"/>
        <c:crossBetween val="midCat"/>
        <c:majorUnit val="0.2"/>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 Percentage by Decade</a:t>
            </a:r>
          </a:p>
        </c:rich>
      </c:tx>
      <c:overlay val="0"/>
      <c:spPr>
        <a:noFill/>
        <a:ln w="0">
          <a:noFill/>
        </a:ln>
      </c:spPr>
    </c:title>
    <c:autoTitleDeleted val="0"/>
    <c:plotArea>
      <c:barChart>
        <c:barDir val="col"/>
        <c:grouping val="clustered"/>
        <c:varyColors val="0"/>
        <c:ser>
          <c:idx val="0"/>
          <c:order val="0"/>
          <c:tx>
            <c:strRef>
              <c:f>G2_Decades!Q4</c:f>
              <c:strCache>
                <c:ptCount val="1"/>
                <c:pt idx="0">
                  <c:v>Win %</c:v>
                </c:pt>
              </c:strCache>
            </c:strRef>
          </c:tx>
          <c:spPr>
            <a:solidFill>
              <a:srgbClr val="c8102e"/>
            </a:solidFill>
            <a:ln w="9360">
              <a:solidFill>
                <a:srgbClr val="f9f9f9"/>
              </a:solidFill>
              <a:round/>
            </a:ln>
          </c:spPr>
          <c:invertIfNegative val="0"/>
          <c:dLbls>
            <c:numFmt formatCode="0.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G2_Decades!$L$5:$L$18</c:f>
              <c:strCache>
                <c:ptCount val="14"/>
                <c:pt idx="0">
                  <c:v>1890s</c:v>
                </c:pt>
                <c:pt idx="1">
                  <c:v>1900s</c:v>
                </c:pt>
                <c:pt idx="2">
                  <c:v>1910s</c:v>
                </c:pt>
                <c:pt idx="3">
                  <c:v>1920s</c:v>
                </c:pt>
                <c:pt idx="4">
                  <c:v>1930s</c:v>
                </c:pt>
                <c:pt idx="5">
                  <c:v>1940s</c:v>
                </c:pt>
                <c:pt idx="6">
                  <c:v>1950s</c:v>
                </c:pt>
                <c:pt idx="7">
                  <c:v>1960s</c:v>
                </c:pt>
                <c:pt idx="8">
                  <c:v>1970s</c:v>
                </c:pt>
                <c:pt idx="9">
                  <c:v>1980s</c:v>
                </c:pt>
                <c:pt idx="10">
                  <c:v>1990s</c:v>
                </c:pt>
                <c:pt idx="11">
                  <c:v>2000s</c:v>
                </c:pt>
                <c:pt idx="12">
                  <c:v>2010s</c:v>
                </c:pt>
                <c:pt idx="13">
                  <c:v>2020s</c:v>
                </c:pt>
              </c:strCache>
            </c:strRef>
          </c:cat>
          <c:val>
            <c:numRef>
              <c:f>G2_Decades!$Q$5:$Q$18</c:f>
              <c:numCache>
                <c:formatCode>0.000</c:formatCode>
                <c:ptCount val="14"/>
                <c:pt idx="0">
                  <c:v>0.614285714285714</c:v>
                </c:pt>
                <c:pt idx="1">
                  <c:v>0.774193548387097</c:v>
                </c:pt>
                <c:pt idx="2">
                  <c:v>0.792207792207792</c:v>
                </c:pt>
                <c:pt idx="3">
                  <c:v>0.725609756097561</c:v>
                </c:pt>
                <c:pt idx="4">
                  <c:v>0.725274725274725</c:v>
                </c:pt>
                <c:pt idx="5">
                  <c:v>0.373626373626374</c:v>
                </c:pt>
                <c:pt idx="6">
                  <c:v>0.405</c:v>
                </c:pt>
                <c:pt idx="7">
                  <c:v>0.712264150943396</c:v>
                </c:pt>
                <c:pt idx="8">
                  <c:v>0.819672131147541</c:v>
                </c:pt>
                <c:pt idx="9">
                  <c:v>0.83739837398374</c:v>
                </c:pt>
                <c:pt idx="10">
                  <c:v>0.868</c:v>
                </c:pt>
                <c:pt idx="11">
                  <c:v>0.65625</c:v>
                </c:pt>
                <c:pt idx="12">
                  <c:v>0.581395348837209</c:v>
                </c:pt>
                <c:pt idx="13">
                  <c:v>0.414285714285714</c:v>
                </c:pt>
              </c:numCache>
            </c:numRef>
          </c:val>
        </c:ser>
        <c:gapWidth val="40"/>
        <c:overlap val="0"/>
        <c:axId val="45971679"/>
        <c:axId val="60516718"/>
      </c:barChart>
      <c:catAx>
        <c:axId val="4597167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Decade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516718"/>
        <c:crosses val="autoZero"/>
        <c:auto val="1"/>
        <c:lblAlgn val="ctr"/>
        <c:lblOffset val="100"/>
        <c:noMultiLvlLbl val="0"/>
      </c:catAx>
      <c:valAx>
        <c:axId val="60516718"/>
        <c:scaling>
          <c:orientation val="minMax"/>
          <c:max val="1"/>
          <c:min val="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Win percentage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716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 Percentage by Head Coach Since 1962</a:t>
            </a:r>
          </a:p>
        </c:rich>
      </c:tx>
      <c:overlay val="0"/>
      <c:spPr>
        <a:noFill/>
        <a:ln w="0">
          <a:noFill/>
        </a:ln>
      </c:spPr>
    </c:title>
    <c:autoTitleDeleted val="0"/>
    <c:plotArea>
      <c:barChart>
        <c:barDir val="bar"/>
        <c:grouping val="clustered"/>
        <c:varyColors val="0"/>
        <c:ser>
          <c:idx val="0"/>
          <c:order val="0"/>
          <c:tx>
            <c:strRef>
              <c:f>G3_Coaches!Q4</c:f>
              <c:strCache>
                <c:ptCount val="1"/>
                <c:pt idx="0">
                  <c:v>Win %</c:v>
                </c:pt>
              </c:strCache>
            </c:strRef>
          </c:tx>
          <c:spPr>
            <a:solidFill>
              <a:srgbClr val="c8102e"/>
            </a:solidFill>
            <a:ln w="9360">
              <a:solidFill>
                <a:srgbClr val="f9f9f9"/>
              </a:solidFill>
              <a:round/>
            </a:ln>
          </c:spPr>
          <c:invertIfNegative val="0"/>
          <c:dLbls>
            <c:numFmt formatCode="0.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G3_Coaches!$U$5:$U$12</c:f>
              <c:strCache>
                <c:ptCount val="8"/>
                <c:pt idx="0">
                  <c:v>Tom Osborne (1973-1997)</c:v>
                </c:pt>
                <c:pt idx="1">
                  <c:v>Bob Devaney (1962-1972)</c:v>
                </c:pt>
                <c:pt idx="2">
                  <c:v>Frank Solich (1998-2003)</c:v>
                </c:pt>
                <c:pt idx="3">
                  <c:v>Bo Pelini (2008-2014)</c:v>
                </c:pt>
                <c:pt idx="4">
                  <c:v>Bill Callahan (2004-2007)</c:v>
                </c:pt>
                <c:pt idx="5">
                  <c:v>Mike Riley (2015-2017)</c:v>
                </c:pt>
                <c:pt idx="6">
                  <c:v>Matt Rhule (2023-2025)</c:v>
                </c:pt>
                <c:pt idx="7">
                  <c:v>Scott Frost (2018-2022)</c:v>
                </c:pt>
              </c:strCache>
            </c:strRef>
          </c:cat>
          <c:val>
            <c:numRef>
              <c:f>G3_Coaches!$Q$5:$Q$12</c:f>
              <c:numCache>
                <c:formatCode>0.000</c:formatCode>
                <c:ptCount val="8"/>
                <c:pt idx="0">
                  <c:v>0.835504885993485</c:v>
                </c:pt>
                <c:pt idx="1">
                  <c:v>0.829268292682927</c:v>
                </c:pt>
                <c:pt idx="2">
                  <c:v>0.756410256410256</c:v>
                </c:pt>
                <c:pt idx="3">
                  <c:v>0.702127659574468</c:v>
                </c:pt>
                <c:pt idx="4">
                  <c:v>0.551020408163265</c:v>
                </c:pt>
                <c:pt idx="5">
                  <c:v>0.5</c:v>
                </c:pt>
                <c:pt idx="6">
                  <c:v>0.5</c:v>
                </c:pt>
                <c:pt idx="7">
                  <c:v>0.339285714285714</c:v>
                </c:pt>
              </c:numCache>
            </c:numRef>
          </c:val>
        </c:ser>
        <c:gapWidth val="35"/>
        <c:overlap val="0"/>
        <c:axId val="62949568"/>
        <c:axId val="59123275"/>
      </c:barChart>
      <c:catAx>
        <c:axId val="6294956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23275"/>
        <c:crosses val="autoZero"/>
        <c:auto val="1"/>
        <c:lblAlgn val="ctr"/>
        <c:lblOffset val="100"/>
        <c:noMultiLvlLbl val="0"/>
      </c:catAx>
      <c:valAx>
        <c:axId val="59123275"/>
        <c:scaling>
          <c:orientation val="minMax"/>
          <c:max val="1"/>
          <c:min val="0"/>
        </c:scaling>
        <c:delete val="0"/>
        <c:axPos val="l"/>
        <c:majorGridlines>
          <c:spPr>
            <a:ln w="9360">
              <a:solidFill>
                <a:srgbClr val="d9d9d9"/>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Win percentage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949568"/>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Performance by Conference Era (Modern Era, 1962-2025)</a:t>
            </a:r>
          </a:p>
        </c:rich>
      </c:tx>
      <c:overlay val="0"/>
      <c:spPr>
        <a:noFill/>
        <a:ln w="0">
          <a:noFill/>
        </a:ln>
      </c:spPr>
    </c:title>
    <c:autoTitleDeleted val="0"/>
    <c:plotArea>
      <c:barChart>
        <c:barDir val="col"/>
        <c:grouping val="clustered"/>
        <c:varyColors val="0"/>
        <c:ser>
          <c:idx val="0"/>
          <c:order val="0"/>
          <c:tx>
            <c:strRef>
              <c:f>G4_Eras!N4</c:f>
              <c:strCache>
                <c:ptCount val="1"/>
                <c:pt idx="0">
                  <c:v>Overall win %</c:v>
                </c:pt>
              </c:strCache>
            </c:strRef>
          </c:tx>
          <c:spPr>
            <a:solidFill>
              <a:srgbClr val="c8102e"/>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G4_Eras!$L$5:$L$7</c:f>
              <c:strCache>
                <c:ptCount val="3"/>
                <c:pt idx="0">
                  <c:v>Big Eight (1962-95)</c:v>
                </c:pt>
                <c:pt idx="1">
                  <c:v>Big 12 (1996-2010)</c:v>
                </c:pt>
                <c:pt idx="2">
                  <c:v>Big Ten (2011-25)</c:v>
                </c:pt>
              </c:strCache>
            </c:strRef>
          </c:cat>
          <c:val>
            <c:numRef>
              <c:f>G4_Eras!$N$5:$N$7</c:f>
              <c:numCache>
                <c:formatCode>0.0%</c:formatCode>
                <c:ptCount val="3"/>
                <c:pt idx="0">
                  <c:v>0.827970297029703</c:v>
                </c:pt>
                <c:pt idx="1">
                  <c:v>0.716494845360825</c:v>
                </c:pt>
                <c:pt idx="2">
                  <c:v>0.508108108108108</c:v>
                </c:pt>
              </c:numCache>
            </c:numRef>
          </c:val>
        </c:ser>
        <c:ser>
          <c:idx val="1"/>
          <c:order val="1"/>
          <c:tx>
            <c:strRef>
              <c:f>G4_Eras!O4</c:f>
              <c:strCache>
                <c:ptCount val="1"/>
                <c:pt idx="0">
                  <c:v>Conference win %</c:v>
                </c:pt>
              </c:strCache>
            </c:strRef>
          </c:tx>
          <c:spPr>
            <a:solidFill>
              <a:srgbClr val="6e0a18"/>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G4_Eras!$L$5:$L$7</c:f>
              <c:strCache>
                <c:ptCount val="3"/>
                <c:pt idx="0">
                  <c:v>Big Eight (1962-95)</c:v>
                </c:pt>
                <c:pt idx="1">
                  <c:v>Big 12 (1996-2010)</c:v>
                </c:pt>
                <c:pt idx="2">
                  <c:v>Big Ten (2011-25)</c:v>
                </c:pt>
              </c:strCache>
            </c:strRef>
          </c:cat>
          <c:val>
            <c:numRef>
              <c:f>G4_Eras!$O$5:$O$7</c:f>
              <c:numCache>
                <c:formatCode>0.0%</c:formatCode>
                <c:ptCount val="3"/>
                <c:pt idx="0">
                  <c:v>0.842436974789916</c:v>
                </c:pt>
                <c:pt idx="1">
                  <c:v>0.675</c:v>
                </c:pt>
                <c:pt idx="2">
                  <c:v>0.441860465116279</c:v>
                </c:pt>
              </c:numCache>
            </c:numRef>
          </c:val>
        </c:ser>
        <c:ser>
          <c:idx val="2"/>
          <c:order val="2"/>
          <c:tx>
            <c:strRef>
              <c:f>G4_Eras!P4</c:f>
              <c:strCache>
                <c:ptCount val="1"/>
                <c:pt idx="0">
                  <c:v>% seasons with bowl</c:v>
                </c:pt>
              </c:strCache>
            </c:strRef>
          </c:tx>
          <c:spPr>
            <a:solidFill>
              <a:srgbClr val="d9a441"/>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G4_Eras!$L$5:$L$7</c:f>
              <c:strCache>
                <c:ptCount val="3"/>
                <c:pt idx="0">
                  <c:v>Big Eight (1962-95)</c:v>
                </c:pt>
                <c:pt idx="1">
                  <c:v>Big 12 (1996-2010)</c:v>
                </c:pt>
                <c:pt idx="2">
                  <c:v>Big Ten (2011-25)</c:v>
                </c:pt>
              </c:strCache>
            </c:strRef>
          </c:cat>
          <c:val>
            <c:numRef>
              <c:f>G4_Eras!$P$5:$P$7</c:f>
              <c:numCache>
                <c:formatCode>0.0%</c:formatCode>
                <c:ptCount val="3"/>
                <c:pt idx="0">
                  <c:v>0.941176470588235</c:v>
                </c:pt>
                <c:pt idx="1">
                  <c:v>0.866666666666667</c:v>
                </c:pt>
                <c:pt idx="2">
                  <c:v>0.533333333333333</c:v>
                </c:pt>
              </c:numCache>
            </c:numRef>
          </c:val>
        </c:ser>
        <c:ser>
          <c:idx val="3"/>
          <c:order val="3"/>
          <c:tx>
            <c:strRef>
              <c:f>G4_Eras!Q4</c:f>
              <c:strCache>
                <c:ptCount val="1"/>
                <c:pt idx="0">
                  <c:v>% seasons final AP ranked</c:v>
                </c:pt>
              </c:strCache>
            </c:strRef>
          </c:tx>
          <c:spPr>
            <a:solidFill>
              <a:srgbClr val="7f7f7f"/>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G4_Eras!$L$5:$L$7</c:f>
              <c:strCache>
                <c:ptCount val="3"/>
                <c:pt idx="0">
                  <c:v>Big Eight (1962-95)</c:v>
                </c:pt>
                <c:pt idx="1">
                  <c:v>Big 12 (1996-2010)</c:v>
                </c:pt>
                <c:pt idx="2">
                  <c:v>Big Ten (2011-25)</c:v>
                </c:pt>
              </c:strCache>
            </c:strRef>
          </c:cat>
          <c:val>
            <c:numRef>
              <c:f>G4_Eras!$Q$5:$Q$7</c:f>
              <c:numCache>
                <c:formatCode>0.0%</c:formatCode>
                <c:ptCount val="3"/>
                <c:pt idx="0">
                  <c:v>0.911764705882353</c:v>
                </c:pt>
                <c:pt idx="1">
                  <c:v>0.666666666666667</c:v>
                </c:pt>
                <c:pt idx="2">
                  <c:v>0.133333333333333</c:v>
                </c:pt>
              </c:numCache>
            </c:numRef>
          </c:val>
        </c:ser>
        <c:gapWidth val="60"/>
        <c:overlap val="0"/>
        <c:axId val="63359877"/>
        <c:axId val="44896287"/>
      </c:barChart>
      <c:catAx>
        <c:axId val="633598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96287"/>
        <c:crosses val="autoZero"/>
        <c:auto val="1"/>
        <c:lblAlgn val="ctr"/>
        <c:lblOffset val="100"/>
        <c:noMultiLvlLbl val="0"/>
      </c:catAx>
      <c:valAx>
        <c:axId val="44896287"/>
        <c:scaling>
          <c:orientation val="minMax"/>
          <c:max val="1"/>
          <c:min val="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598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Bowl Game Wins and Losses by Decade, 1940s-2020s</a:t>
            </a:r>
          </a:p>
        </c:rich>
      </c:tx>
      <c:overlay val="0"/>
      <c:spPr>
        <a:noFill/>
        <a:ln w="0">
          <a:noFill/>
        </a:ln>
      </c:spPr>
    </c:title>
    <c:autoTitleDeleted val="0"/>
    <c:plotArea>
      <c:barChart>
        <c:barDir val="col"/>
        <c:grouping val="stacked"/>
        <c:varyColors val="0"/>
        <c:ser>
          <c:idx val="0"/>
          <c:order val="0"/>
          <c:tx>
            <c:strRef>
              <c:f>G5_Bowls!M4</c:f>
              <c:strCache>
                <c:ptCount val="1"/>
                <c:pt idx="0">
                  <c:v>Bowl wins</c:v>
                </c:pt>
              </c:strCache>
            </c:strRef>
          </c:tx>
          <c:spPr>
            <a:solidFill>
              <a:srgbClr val="c8102e"/>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G5_Bowls!$L$5:$L$13</c:f>
              <c:strCache>
                <c:ptCount val="9"/>
                <c:pt idx="0">
                  <c:v>1940s</c:v>
                </c:pt>
                <c:pt idx="1">
                  <c:v>1950s</c:v>
                </c:pt>
                <c:pt idx="2">
                  <c:v>1960s</c:v>
                </c:pt>
                <c:pt idx="3">
                  <c:v>1970s</c:v>
                </c:pt>
                <c:pt idx="4">
                  <c:v>1980s</c:v>
                </c:pt>
                <c:pt idx="5">
                  <c:v>1990s</c:v>
                </c:pt>
                <c:pt idx="6">
                  <c:v>2000s</c:v>
                </c:pt>
                <c:pt idx="7">
                  <c:v>2010s</c:v>
                </c:pt>
                <c:pt idx="8">
                  <c:v>2020s</c:v>
                </c:pt>
              </c:strCache>
            </c:strRef>
          </c:cat>
          <c:val>
            <c:numRef>
              <c:f>G5_Bowls!$M$5:$M$13</c:f>
              <c:numCache>
                <c:formatCode>General</c:formatCode>
                <c:ptCount val="9"/>
                <c:pt idx="0">
                  <c:v>0</c:v>
                </c:pt>
                <c:pt idx="1">
                  <c:v>0</c:v>
                </c:pt>
                <c:pt idx="2">
                  <c:v>3</c:v>
                </c:pt>
                <c:pt idx="3">
                  <c:v>7</c:v>
                </c:pt>
                <c:pt idx="4">
                  <c:v>4</c:v>
                </c:pt>
                <c:pt idx="5">
                  <c:v>5</c:v>
                </c:pt>
                <c:pt idx="6">
                  <c:v>5</c:v>
                </c:pt>
                <c:pt idx="7">
                  <c:v>2</c:v>
                </c:pt>
                <c:pt idx="8">
                  <c:v>1</c:v>
                </c:pt>
              </c:numCache>
            </c:numRef>
          </c:val>
        </c:ser>
        <c:ser>
          <c:idx val="1"/>
          <c:order val="1"/>
          <c:tx>
            <c:strRef>
              <c:f>G5_Bowls!N4</c:f>
              <c:strCache>
                <c:ptCount val="1"/>
                <c:pt idx="0">
                  <c:v>Bowl losses</c:v>
                </c:pt>
              </c:strCache>
            </c:strRef>
          </c:tx>
          <c:spPr>
            <a:solidFill>
              <a:srgbClr val="a6a6a6"/>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G5_Bowls!$L$5:$L$13</c:f>
              <c:strCache>
                <c:ptCount val="9"/>
                <c:pt idx="0">
                  <c:v>1940s</c:v>
                </c:pt>
                <c:pt idx="1">
                  <c:v>1950s</c:v>
                </c:pt>
                <c:pt idx="2">
                  <c:v>1960s</c:v>
                </c:pt>
                <c:pt idx="3">
                  <c:v>1970s</c:v>
                </c:pt>
                <c:pt idx="4">
                  <c:v>1980s</c:v>
                </c:pt>
                <c:pt idx="5">
                  <c:v>1990s</c:v>
                </c:pt>
                <c:pt idx="6">
                  <c:v>2000s</c:v>
                </c:pt>
                <c:pt idx="7">
                  <c:v>2010s</c:v>
                </c:pt>
                <c:pt idx="8">
                  <c:v>2020s</c:v>
                </c:pt>
              </c:strCache>
            </c:strRef>
          </c:cat>
          <c:val>
            <c:numRef>
              <c:f>G5_Bowls!$N$5:$N$13</c:f>
              <c:numCache>
                <c:formatCode>General</c:formatCode>
                <c:ptCount val="9"/>
                <c:pt idx="0">
                  <c:v>1</c:v>
                </c:pt>
                <c:pt idx="1">
                  <c:v>1</c:v>
                </c:pt>
                <c:pt idx="2">
                  <c:v>3</c:v>
                </c:pt>
                <c:pt idx="3">
                  <c:v>3</c:v>
                </c:pt>
                <c:pt idx="4">
                  <c:v>6</c:v>
                </c:pt>
                <c:pt idx="5">
                  <c:v>5</c:v>
                </c:pt>
                <c:pt idx="6">
                  <c:v>3</c:v>
                </c:pt>
                <c:pt idx="7">
                  <c:v>5</c:v>
                </c:pt>
                <c:pt idx="8">
                  <c:v>1</c:v>
                </c:pt>
              </c:numCache>
            </c:numRef>
          </c:val>
        </c:ser>
        <c:gapWidth val="50"/>
        <c:overlap val="100"/>
        <c:axId val="81864132"/>
        <c:axId val="99540653"/>
      </c:barChart>
      <c:catAx>
        <c:axId val="8186413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Decade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40653"/>
        <c:crosses val="autoZero"/>
        <c:auto val="1"/>
        <c:lblAlgn val="ctr"/>
        <c:lblOffset val="100"/>
        <c:noMultiLvlLbl val="0"/>
      </c:catAx>
      <c:valAx>
        <c:axId val="99540653"/>
        <c:scaling>
          <c:orientation val="minMax"/>
          <c:max val="10"/>
          <c:min val="0"/>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Bowl games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64132"/>
        <c:crosses val="autoZero"/>
        <c:crossBetween val="between"/>
        <c:majorUnit val="2"/>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Final AP Poll Ranking by Season (ranked seasons only)</a:t>
            </a:r>
          </a:p>
        </c:rich>
      </c:tx>
      <c:overlay val="0"/>
      <c:spPr>
        <a:noFill/>
        <a:ln w="0">
          <a:noFill/>
        </a:ln>
      </c:spPr>
    </c:title>
    <c:autoTitleDeleted val="0"/>
    <c:plotArea>
      <c:scatterChart>
        <c:scatterStyle val="lineMarker"/>
        <c:varyColors val="0"/>
        <c:ser>
          <c:idx val="0"/>
          <c:order val="0"/>
          <c:tx>
            <c:strRef>
              <c:f>G6_Rankings!M4</c:f>
              <c:strCache>
                <c:ptCount val="1"/>
                <c:pt idx="0">
                  <c:v>Final AP rank</c:v>
                </c:pt>
              </c:strCache>
            </c:strRef>
          </c:tx>
          <c:spPr>
            <a:solidFill>
              <a:srgbClr val="c8102e"/>
            </a:solidFill>
            <a:ln w="47520">
              <a:noFill/>
            </a:ln>
          </c:spPr>
          <c:marker>
            <c:symbol val="circle"/>
            <c:size val="7"/>
            <c:spPr>
              <a:solidFill>
                <a:srgbClr val="c8102e"/>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G6_Rankings!$L$5:$L$52</c:f>
              <c:numCache>
                <c:formatCode>General</c:formatCode>
                <c:ptCount val="48"/>
                <c:pt idx="0">
                  <c:v>1936</c:v>
                </c:pt>
                <c:pt idx="1">
                  <c:v>1937</c:v>
                </c:pt>
                <c:pt idx="2">
                  <c:v>1939</c:v>
                </c:pt>
                <c:pt idx="3">
                  <c:v>1940</c:v>
                </c:pt>
                <c:pt idx="4">
                  <c:v>1950</c:v>
                </c:pt>
                <c:pt idx="5">
                  <c:v>1963</c:v>
                </c:pt>
                <c:pt idx="6">
                  <c:v>1964</c:v>
                </c:pt>
                <c:pt idx="7">
                  <c:v>1965</c:v>
                </c:pt>
                <c:pt idx="8">
                  <c:v>1966</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2003</c:v>
                </c:pt>
                <c:pt idx="43">
                  <c:v>2005</c:v>
                </c:pt>
                <c:pt idx="44">
                  <c:v>2009</c:v>
                </c:pt>
                <c:pt idx="45">
                  <c:v>2010</c:v>
                </c:pt>
                <c:pt idx="46">
                  <c:v>2011</c:v>
                </c:pt>
                <c:pt idx="47">
                  <c:v>2012</c:v>
                </c:pt>
              </c:numCache>
            </c:numRef>
          </c:xVal>
          <c:yVal>
            <c:numRef>
              <c:f>G6_Rankings!$M$5:$M$52</c:f>
              <c:numCache>
                <c:formatCode>General</c:formatCode>
                <c:ptCount val="48"/>
                <c:pt idx="0">
                  <c:v>9</c:v>
                </c:pt>
                <c:pt idx="1">
                  <c:v>11</c:v>
                </c:pt>
                <c:pt idx="2">
                  <c:v>18</c:v>
                </c:pt>
                <c:pt idx="3">
                  <c:v>7</c:v>
                </c:pt>
                <c:pt idx="4">
                  <c:v>17</c:v>
                </c:pt>
                <c:pt idx="5">
                  <c:v>6</c:v>
                </c:pt>
                <c:pt idx="6">
                  <c:v>6</c:v>
                </c:pt>
                <c:pt idx="7">
                  <c:v>5</c:v>
                </c:pt>
                <c:pt idx="8">
                  <c:v>6</c:v>
                </c:pt>
                <c:pt idx="9">
                  <c:v>11</c:v>
                </c:pt>
                <c:pt idx="10">
                  <c:v>1</c:v>
                </c:pt>
                <c:pt idx="11">
                  <c:v>1</c:v>
                </c:pt>
                <c:pt idx="12">
                  <c:v>4</c:v>
                </c:pt>
                <c:pt idx="13">
                  <c:v>7</c:v>
                </c:pt>
                <c:pt idx="14">
                  <c:v>8</c:v>
                </c:pt>
                <c:pt idx="15">
                  <c:v>9</c:v>
                </c:pt>
                <c:pt idx="16">
                  <c:v>9</c:v>
                </c:pt>
                <c:pt idx="17">
                  <c:v>12</c:v>
                </c:pt>
                <c:pt idx="18">
                  <c:v>8</c:v>
                </c:pt>
                <c:pt idx="19">
                  <c:v>9</c:v>
                </c:pt>
                <c:pt idx="20">
                  <c:v>7</c:v>
                </c:pt>
                <c:pt idx="21">
                  <c:v>11</c:v>
                </c:pt>
                <c:pt idx="22">
                  <c:v>3</c:v>
                </c:pt>
                <c:pt idx="23">
                  <c:v>2</c:v>
                </c:pt>
                <c:pt idx="24">
                  <c:v>4</c:v>
                </c:pt>
                <c:pt idx="25">
                  <c:v>11</c:v>
                </c:pt>
                <c:pt idx="26">
                  <c:v>5</c:v>
                </c:pt>
                <c:pt idx="27">
                  <c:v>6</c:v>
                </c:pt>
                <c:pt idx="28">
                  <c:v>10</c:v>
                </c:pt>
                <c:pt idx="29">
                  <c:v>11</c:v>
                </c:pt>
                <c:pt idx="30">
                  <c:v>24</c:v>
                </c:pt>
                <c:pt idx="31">
                  <c:v>15</c:v>
                </c:pt>
                <c:pt idx="32">
                  <c:v>14</c:v>
                </c:pt>
                <c:pt idx="33">
                  <c:v>3</c:v>
                </c:pt>
                <c:pt idx="34">
                  <c:v>1</c:v>
                </c:pt>
                <c:pt idx="35">
                  <c:v>1</c:v>
                </c:pt>
                <c:pt idx="36">
                  <c:v>6</c:v>
                </c:pt>
                <c:pt idx="37">
                  <c:v>2</c:v>
                </c:pt>
                <c:pt idx="38">
                  <c:v>19</c:v>
                </c:pt>
                <c:pt idx="39">
                  <c:v>3</c:v>
                </c:pt>
                <c:pt idx="40">
                  <c:v>8</c:v>
                </c:pt>
                <c:pt idx="41">
                  <c:v>8</c:v>
                </c:pt>
                <c:pt idx="42">
                  <c:v>19</c:v>
                </c:pt>
                <c:pt idx="43">
                  <c:v>24</c:v>
                </c:pt>
                <c:pt idx="44">
                  <c:v>14</c:v>
                </c:pt>
                <c:pt idx="45">
                  <c:v>20</c:v>
                </c:pt>
                <c:pt idx="46">
                  <c:v>24</c:v>
                </c:pt>
                <c:pt idx="47">
                  <c:v>25</c:v>
                </c:pt>
              </c:numCache>
            </c:numRef>
          </c:yVal>
          <c:smooth val="1"/>
        </c:ser>
        <c:axId val="65453147"/>
        <c:axId val="33411217"/>
      </c:scatterChart>
      <c:valAx>
        <c:axId val="65453147"/>
        <c:scaling>
          <c:orientation val="minMax"/>
          <c:max val="2030"/>
          <c:min val="1930"/>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Season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411217"/>
        <c:crosses val="max"/>
        <c:crossBetween val="midCat"/>
        <c:majorUnit val="10"/>
      </c:valAx>
      <c:valAx>
        <c:axId val="33411217"/>
        <c:scaling>
          <c:orientation val="maxMin"/>
          <c:max val="25"/>
          <c:min val="1"/>
        </c:scaling>
        <c:delete val="0"/>
        <c:axPos val="l"/>
        <c:majorGridlines>
          <c:spPr>
            <a:ln w="9360">
              <a:solidFill>
                <a:srgbClr val="d9d9d9"/>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Final AP rank (1 = national champion)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453147"/>
        <c:crosses val="autoZero"/>
        <c:crossBetween val="midCat"/>
        <c:majorUnit val="4"/>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131040</xdr:rowOff>
    </xdr:from>
    <xdr:to>
      <xdr:col>9</xdr:col>
      <xdr:colOff>729720</xdr:colOff>
      <xdr:row>24</xdr:row>
      <xdr:rowOff>49680</xdr:rowOff>
    </xdr:to>
    <xdr:graphicFrame>
      <xdr:nvGraphicFramePr>
        <xdr:cNvPr id="0" name="Chart 1"/>
        <xdr:cNvGraphicFramePr/>
      </xdr:nvGraphicFramePr>
      <xdr:xfrm>
        <a:off x="0" y="76212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131040</xdr:rowOff>
    </xdr:from>
    <xdr:to>
      <xdr:col>9</xdr:col>
      <xdr:colOff>729720</xdr:colOff>
      <xdr:row>24</xdr:row>
      <xdr:rowOff>162000</xdr:rowOff>
    </xdr:to>
    <xdr:graphicFrame>
      <xdr:nvGraphicFramePr>
        <xdr:cNvPr id="1" name="Chart 1"/>
        <xdr:cNvGraphicFramePr/>
      </xdr:nvGraphicFramePr>
      <xdr:xfrm>
        <a:off x="0" y="76212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131040</xdr:rowOff>
    </xdr:from>
    <xdr:to>
      <xdr:col>9</xdr:col>
      <xdr:colOff>729720</xdr:colOff>
      <xdr:row>24</xdr:row>
      <xdr:rowOff>49680</xdr:rowOff>
    </xdr:to>
    <xdr:graphicFrame>
      <xdr:nvGraphicFramePr>
        <xdr:cNvPr id="2" name="Chart 1"/>
        <xdr:cNvGraphicFramePr/>
      </xdr:nvGraphicFramePr>
      <xdr:xfrm>
        <a:off x="0" y="76212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321480</xdr:rowOff>
    </xdr:from>
    <xdr:to>
      <xdr:col>9</xdr:col>
      <xdr:colOff>729720</xdr:colOff>
      <xdr:row>24</xdr:row>
      <xdr:rowOff>162000</xdr:rowOff>
    </xdr:to>
    <xdr:graphicFrame>
      <xdr:nvGraphicFramePr>
        <xdr:cNvPr id="3" name="Chart 1"/>
        <xdr:cNvGraphicFramePr/>
      </xdr:nvGraphicFramePr>
      <xdr:xfrm>
        <a:off x="0" y="95256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321480</xdr:rowOff>
    </xdr:from>
    <xdr:to>
      <xdr:col>9</xdr:col>
      <xdr:colOff>729720</xdr:colOff>
      <xdr:row>24</xdr:row>
      <xdr:rowOff>162000</xdr:rowOff>
    </xdr:to>
    <xdr:graphicFrame>
      <xdr:nvGraphicFramePr>
        <xdr:cNvPr id="4" name="Chart 1"/>
        <xdr:cNvGraphicFramePr/>
      </xdr:nvGraphicFramePr>
      <xdr:xfrm>
        <a:off x="0" y="95256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321480</xdr:rowOff>
    </xdr:from>
    <xdr:to>
      <xdr:col>9</xdr:col>
      <xdr:colOff>729720</xdr:colOff>
      <xdr:row>24</xdr:row>
      <xdr:rowOff>162000</xdr:rowOff>
    </xdr:to>
    <xdr:graphicFrame>
      <xdr:nvGraphicFramePr>
        <xdr:cNvPr id="5" name="Chart 1"/>
        <xdr:cNvGraphicFramePr/>
      </xdr:nvGraphicFramePr>
      <xdr:xfrm>
        <a:off x="0" y="952560"/>
        <a:ext cx="8027640" cy="40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easons" displayName="Seasons" ref="A1:Y137" headerRowCount="1" totalsRowCount="0" totalsRowShown="0">
  <autoFilter ref="A1:Y137"/>
  <tableColumns count="25">
    <tableColumn id="1" name="Season"/>
    <tableColumn id="2" name="Decade"/>
    <tableColumn id="3" name="Head_Coach"/>
    <tableColumn id="4" name="Conference"/>
    <tableColumn id="5" name="Conference_Era"/>
    <tableColumn id="6" name="Wins"/>
    <tableColumn id="7" name="Losses"/>
    <tableColumn id="8" name="Ties"/>
    <tableColumn id="9" name="Games"/>
    <tableColumn id="10" name="Win_Pct"/>
    <tableColumn id="11" name="Conf_Wins"/>
    <tableColumn id="12" name="Conf_Losses"/>
    <tableColumn id="13" name="Conf_Ties"/>
    <tableColumn id="14" name="Conf_Win_Pct"/>
    <tableColumn id="15" name="Conf_Finish"/>
    <tableColumn id="16" name="Finish_Tied"/>
    <tableColumn id="17" name="Division"/>
    <tableColumn id="18" name="Bowl_Game"/>
    <tableColumn id="19" name="Bowl_Name"/>
    <tableColumn id="20" name="Bowl_Result"/>
    <tableColumn id="21" name="Major_Bowl"/>
    <tableColumn id="22" name="AP_Final_Rank"/>
    <tableColumn id="23" name="Coaches_Final_Rank"/>
    <tableColumn id="24" name="AP_Ranked"/>
    <tableColumn id="25" name="Winning_Seas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t="s">
        <v>3</v>
      </c>
    </row>
    <row r="6" customFormat="false" ht="39.55" hidden="false" customHeight="false" outlineLevel="0" collapsed="false">
      <c r="B6" s="3" t="s">
        <v>4</v>
      </c>
      <c r="C6" s="4" t="s">
        <v>5</v>
      </c>
    </row>
    <row r="7" customFormat="false" ht="15" hidden="false" customHeight="false" outlineLevel="0" collapsed="false">
      <c r="B7" s="3" t="s">
        <v>6</v>
      </c>
      <c r="C7" s="4" t="s">
        <v>7</v>
      </c>
    </row>
    <row r="8" customFormat="false" ht="15" hidden="false" customHeight="false" outlineLevel="0" collapsed="false">
      <c r="B8" s="3" t="s">
        <v>8</v>
      </c>
      <c r="C8" s="4" t="s">
        <v>9</v>
      </c>
    </row>
    <row r="9" customFormat="false" ht="15" hidden="false" customHeight="false" outlineLevel="0" collapsed="false">
      <c r="B9" s="3" t="s">
        <v>10</v>
      </c>
      <c r="C9" s="4" t="s">
        <v>11</v>
      </c>
    </row>
    <row r="10" customFormat="false" ht="15" hidden="false" customHeight="false" outlineLevel="0" collapsed="false">
      <c r="B10" s="3" t="s">
        <v>12</v>
      </c>
      <c r="C10" s="4" t="s">
        <v>13</v>
      </c>
    </row>
    <row r="12" customFormat="false" ht="16.15" hidden="false" customHeight="false" outlineLevel="0" collapsed="false">
      <c r="B12" s="5" t="s">
        <v>14</v>
      </c>
    </row>
    <row r="13" customFormat="false" ht="15" hidden="false" customHeight="false" outlineLevel="0" collapsed="false">
      <c r="B13" s="6" t="s">
        <v>15</v>
      </c>
      <c r="C13" s="4" t="s">
        <v>16</v>
      </c>
    </row>
    <row r="14" customFormat="false" ht="15" hidden="false" customHeight="false" outlineLevel="0" collapsed="false">
      <c r="B14" s="6" t="s">
        <v>17</v>
      </c>
      <c r="C14" s="4" t="s">
        <v>18</v>
      </c>
    </row>
    <row r="15" customFormat="false" ht="15" hidden="false" customHeight="false" outlineLevel="0" collapsed="false">
      <c r="B15" s="6" t="s">
        <v>19</v>
      </c>
      <c r="C15" s="4" t="s">
        <v>20</v>
      </c>
    </row>
    <row r="16" customFormat="false" ht="15" hidden="false" customHeight="false" outlineLevel="0" collapsed="false">
      <c r="B16" s="6" t="s">
        <v>21</v>
      </c>
      <c r="C16" s="4" t="s">
        <v>22</v>
      </c>
    </row>
    <row r="17" customFormat="false" ht="15" hidden="false" customHeight="false" outlineLevel="0" collapsed="false">
      <c r="B17" s="6" t="s">
        <v>23</v>
      </c>
      <c r="C17" s="4" t="s">
        <v>24</v>
      </c>
    </row>
    <row r="18" customFormat="false" ht="15" hidden="false" customHeight="false" outlineLevel="0" collapsed="false">
      <c r="B18" s="6" t="s">
        <v>25</v>
      </c>
      <c r="C18"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4" min="4" style="0" width="10"/>
    <col collapsed="false" customWidth="true" hidden="false" outlineLevel="0" max="5" min="5" style="0" width="11"/>
    <col collapsed="false" customWidth="true" hidden="false" outlineLevel="0" max="6" min="6" style="0" width="14"/>
    <col collapsed="false" customWidth="true" hidden="false" outlineLevel="0" max="7" min="7" style="0" width="22"/>
    <col collapsed="false" customWidth="true" hidden="false" outlineLevel="0" max="8" min="8" style="0" width="9"/>
    <col collapsed="false" customWidth="true" hidden="false" outlineLevel="0" max="9" min="9" style="0" width="7"/>
  </cols>
  <sheetData>
    <row r="1" customFormat="false" ht="15" hidden="false" customHeight="false" outlineLevel="0" collapsed="false">
      <c r="A1" s="7" t="s">
        <v>27</v>
      </c>
      <c r="B1" s="7" t="s">
        <v>28</v>
      </c>
      <c r="C1" s="7" t="s">
        <v>29</v>
      </c>
      <c r="D1" s="7" t="s">
        <v>30</v>
      </c>
      <c r="E1" s="7" t="s">
        <v>31</v>
      </c>
      <c r="F1" s="7" t="s">
        <v>32</v>
      </c>
      <c r="G1" s="7" t="s">
        <v>33</v>
      </c>
      <c r="H1" s="7" t="s">
        <v>34</v>
      </c>
      <c r="I1" s="7" t="s">
        <v>35</v>
      </c>
    </row>
    <row r="2" customFormat="false" ht="15" hidden="false" customHeight="false" outlineLevel="0" collapsed="false">
      <c r="A2" s="8" t="s">
        <v>36</v>
      </c>
      <c r="B2" s="8" t="s">
        <v>37</v>
      </c>
      <c r="C2" s="8" t="s">
        <v>38</v>
      </c>
      <c r="D2" s="8" t="s">
        <v>39</v>
      </c>
      <c r="E2" s="8"/>
      <c r="F2" s="8"/>
      <c r="G2" s="8"/>
      <c r="H2" s="8"/>
      <c r="I2" s="8"/>
    </row>
    <row r="3" customFormat="false" ht="15" hidden="false" customHeight="false" outlineLevel="0" collapsed="false">
      <c r="A3" s="8" t="s">
        <v>40</v>
      </c>
      <c r="B3" s="8" t="s">
        <v>41</v>
      </c>
      <c r="C3" s="8" t="s">
        <v>38</v>
      </c>
      <c r="D3" s="8" t="s">
        <v>42</v>
      </c>
      <c r="E3" s="8"/>
      <c r="F3" s="8"/>
      <c r="G3" s="8"/>
      <c r="H3" s="8"/>
      <c r="I3" s="8"/>
    </row>
    <row r="4" customFormat="false" ht="15" hidden="false" customHeight="false" outlineLevel="0" collapsed="false">
      <c r="A4" s="8" t="s">
        <v>43</v>
      </c>
      <c r="B4" s="8" t="s">
        <v>44</v>
      </c>
      <c r="C4" s="8" t="s">
        <v>45</v>
      </c>
      <c r="D4" s="8" t="s">
        <v>46</v>
      </c>
      <c r="E4" s="8" t="s">
        <v>47</v>
      </c>
      <c r="F4" s="8" t="s">
        <v>48</v>
      </c>
      <c r="G4" s="8"/>
      <c r="H4" s="8"/>
      <c r="I4" s="8"/>
    </row>
    <row r="5" customFormat="false" ht="15" hidden="false" customHeight="false" outlineLevel="0" collapsed="false">
      <c r="A5" s="8" t="s">
        <v>49</v>
      </c>
      <c r="B5" s="8" t="s">
        <v>50</v>
      </c>
      <c r="C5" s="8" t="s">
        <v>45</v>
      </c>
      <c r="D5" s="8" t="s">
        <v>51</v>
      </c>
      <c r="E5" s="8" t="s">
        <v>52</v>
      </c>
      <c r="F5" s="8" t="s">
        <v>53</v>
      </c>
      <c r="G5" s="8"/>
      <c r="H5" s="8"/>
      <c r="I5" s="8"/>
    </row>
    <row r="6" customFormat="false" ht="15" hidden="false" customHeight="false" outlineLevel="0" collapsed="false">
      <c r="A6" s="8" t="s">
        <v>54</v>
      </c>
      <c r="B6" s="8" t="s">
        <v>50</v>
      </c>
      <c r="C6" s="8" t="s">
        <v>45</v>
      </c>
      <c r="D6" s="8" t="s">
        <v>55</v>
      </c>
      <c r="E6" s="8" t="s">
        <v>56</v>
      </c>
      <c r="F6" s="8" t="s">
        <v>57</v>
      </c>
      <c r="G6" s="8"/>
      <c r="H6" s="8"/>
      <c r="I6" s="8"/>
    </row>
    <row r="7" customFormat="false" ht="15" hidden="false" customHeight="false" outlineLevel="0" collapsed="false">
      <c r="A7" s="8" t="s">
        <v>58</v>
      </c>
      <c r="B7" s="8" t="s">
        <v>59</v>
      </c>
      <c r="C7" s="8" t="s">
        <v>45</v>
      </c>
      <c r="D7" s="8" t="s">
        <v>60</v>
      </c>
      <c r="E7" s="8" t="s">
        <v>56</v>
      </c>
      <c r="F7" s="8" t="s">
        <v>61</v>
      </c>
      <c r="G7" s="8"/>
      <c r="H7" s="8"/>
      <c r="I7" s="8"/>
    </row>
    <row r="8" customFormat="false" ht="15" hidden="false" customHeight="false" outlineLevel="0" collapsed="false">
      <c r="A8" s="8" t="s">
        <v>62</v>
      </c>
      <c r="B8" s="8" t="s">
        <v>63</v>
      </c>
      <c r="C8" s="8" t="s">
        <v>45</v>
      </c>
      <c r="D8" s="8" t="s">
        <v>64</v>
      </c>
      <c r="E8" s="8" t="s">
        <v>47</v>
      </c>
      <c r="F8" s="8" t="s">
        <v>53</v>
      </c>
      <c r="G8" s="8"/>
      <c r="H8" s="8"/>
      <c r="I8" s="8"/>
    </row>
    <row r="9" customFormat="false" ht="15" hidden="false" customHeight="false" outlineLevel="0" collapsed="false">
      <c r="A9" s="8" t="s">
        <v>65</v>
      </c>
      <c r="B9" s="8" t="s">
        <v>63</v>
      </c>
      <c r="C9" s="8" t="s">
        <v>45</v>
      </c>
      <c r="D9" s="8" t="s">
        <v>66</v>
      </c>
      <c r="E9" s="8" t="s">
        <v>67</v>
      </c>
      <c r="F9" s="8" t="s">
        <v>57</v>
      </c>
      <c r="G9" s="8"/>
      <c r="H9" s="8"/>
      <c r="I9" s="8"/>
    </row>
    <row r="10" customFormat="false" ht="15" hidden="false" customHeight="false" outlineLevel="0" collapsed="false">
      <c r="A10" s="8" t="s">
        <v>68</v>
      </c>
      <c r="B10" s="8" t="s">
        <v>69</v>
      </c>
      <c r="C10" s="8" t="s">
        <v>38</v>
      </c>
      <c r="D10" s="8" t="s">
        <v>70</v>
      </c>
      <c r="E10" s="8"/>
      <c r="F10" s="8"/>
      <c r="G10" s="8"/>
      <c r="H10" s="8"/>
      <c r="I10" s="8"/>
    </row>
    <row r="11" customFormat="false" ht="15" hidden="false" customHeight="false" outlineLevel="0" collapsed="false">
      <c r="A11" s="8" t="s">
        <v>71</v>
      </c>
      <c r="B11" s="8" t="s">
        <v>72</v>
      </c>
      <c r="C11" s="8" t="s">
        <v>38</v>
      </c>
      <c r="D11" s="8" t="s">
        <v>73</v>
      </c>
      <c r="E11" s="8"/>
      <c r="F11" s="8"/>
      <c r="G11" s="8"/>
      <c r="H11" s="8"/>
      <c r="I11" s="8"/>
    </row>
    <row r="12" customFormat="false" ht="15" hidden="false" customHeight="false" outlineLevel="0" collapsed="false">
      <c r="A12" s="8" t="s">
        <v>74</v>
      </c>
      <c r="B12" s="8" t="s">
        <v>75</v>
      </c>
      <c r="C12" s="8" t="s">
        <v>38</v>
      </c>
      <c r="D12" s="8" t="s">
        <v>76</v>
      </c>
      <c r="E12" s="8"/>
      <c r="F12" s="8"/>
      <c r="G12" s="8"/>
      <c r="H12" s="8"/>
      <c r="I12" s="8"/>
    </row>
    <row r="13" customFormat="false" ht="15" hidden="false" customHeight="false" outlineLevel="0" collapsed="false">
      <c r="A13" s="8" t="s">
        <v>77</v>
      </c>
      <c r="B13" s="8" t="s">
        <v>75</v>
      </c>
      <c r="C13" s="8" t="s">
        <v>38</v>
      </c>
      <c r="D13" s="8" t="s">
        <v>55</v>
      </c>
      <c r="E13" s="8"/>
      <c r="F13" s="8"/>
      <c r="G13" s="8"/>
      <c r="H13" s="8"/>
      <c r="I13" s="8"/>
    </row>
    <row r="14" customFormat="false" ht="15" hidden="false" customHeight="false" outlineLevel="0" collapsed="false">
      <c r="A14" s="8" t="s">
        <v>78</v>
      </c>
      <c r="B14" s="8" t="s">
        <v>75</v>
      </c>
      <c r="C14" s="8" t="s">
        <v>38</v>
      </c>
      <c r="D14" s="8" t="s">
        <v>79</v>
      </c>
      <c r="E14" s="8"/>
      <c r="F14" s="8"/>
      <c r="G14" s="8"/>
      <c r="H14" s="8"/>
      <c r="I14" s="8"/>
    </row>
    <row r="15" customFormat="false" ht="15" hidden="false" customHeight="false" outlineLevel="0" collapsed="false">
      <c r="A15" s="8" t="s">
        <v>80</v>
      </c>
      <c r="B15" s="8" t="s">
        <v>75</v>
      </c>
      <c r="C15" s="8" t="s">
        <v>38</v>
      </c>
      <c r="D15" s="8" t="s">
        <v>81</v>
      </c>
      <c r="E15" s="8"/>
      <c r="F15" s="8"/>
      <c r="G15" s="8"/>
      <c r="H15" s="8"/>
      <c r="I15" s="8"/>
    </row>
    <row r="16" customFormat="false" ht="15" hidden="false" customHeight="false" outlineLevel="0" collapsed="false">
      <c r="A16" s="8" t="s">
        <v>82</v>
      </c>
      <c r="B16" s="8" t="s">
        <v>75</v>
      </c>
      <c r="C16" s="8" t="s">
        <v>38</v>
      </c>
      <c r="D16" s="8" t="s">
        <v>83</v>
      </c>
      <c r="E16" s="8"/>
      <c r="F16" s="8"/>
      <c r="G16" s="8"/>
      <c r="H16" s="8"/>
      <c r="I16" s="8"/>
    </row>
    <row r="17" customFormat="false" ht="15" hidden="false" customHeight="false" outlineLevel="0" collapsed="false">
      <c r="A17" s="8" t="s">
        <v>84</v>
      </c>
      <c r="B17" s="8" t="s">
        <v>75</v>
      </c>
      <c r="C17" s="8" t="s">
        <v>38</v>
      </c>
      <c r="D17" s="8" t="s">
        <v>85</v>
      </c>
      <c r="E17" s="8"/>
      <c r="F17" s="8"/>
      <c r="G17" s="8"/>
      <c r="H17" s="8"/>
      <c r="I17" s="8"/>
    </row>
    <row r="18" customFormat="false" ht="15" hidden="false" customHeight="false" outlineLevel="0" collapsed="false">
      <c r="A18" s="8" t="s">
        <v>86</v>
      </c>
      <c r="B18" s="8" t="s">
        <v>87</v>
      </c>
      <c r="C18" s="8" t="s">
        <v>38</v>
      </c>
      <c r="D18" s="8" t="s">
        <v>88</v>
      </c>
      <c r="E18" s="8"/>
      <c r="F18" s="8"/>
      <c r="G18" s="8"/>
      <c r="H18" s="8"/>
      <c r="I18" s="8"/>
    </row>
    <row r="19" customFormat="false" ht="15" hidden="false" customHeight="false" outlineLevel="0" collapsed="false">
      <c r="A19" s="8" t="s">
        <v>89</v>
      </c>
      <c r="B19" s="8" t="s">
        <v>90</v>
      </c>
      <c r="C19" s="8" t="s">
        <v>91</v>
      </c>
      <c r="D19" s="8" t="s">
        <v>85</v>
      </c>
      <c r="E19" s="8" t="s">
        <v>92</v>
      </c>
      <c r="F19" s="8" t="s">
        <v>61</v>
      </c>
      <c r="G19" s="8"/>
      <c r="H19" s="8"/>
      <c r="I19" s="8"/>
    </row>
    <row r="20" customFormat="false" ht="15" hidden="false" customHeight="false" outlineLevel="0" collapsed="false">
      <c r="A20" s="8" t="s">
        <v>93</v>
      </c>
      <c r="B20" s="8" t="s">
        <v>90</v>
      </c>
      <c r="C20" s="8" t="s">
        <v>91</v>
      </c>
      <c r="D20" s="8" t="s">
        <v>94</v>
      </c>
      <c r="E20" s="8" t="s">
        <v>56</v>
      </c>
      <c r="F20" s="8" t="s">
        <v>95</v>
      </c>
      <c r="G20" s="8"/>
      <c r="H20" s="8"/>
      <c r="I20" s="8"/>
    </row>
    <row r="21" customFormat="false" ht="15" hidden="false" customHeight="false" outlineLevel="0" collapsed="false">
      <c r="A21" s="8" t="s">
        <v>96</v>
      </c>
      <c r="B21" s="8" t="s">
        <v>90</v>
      </c>
      <c r="C21" s="8" t="s">
        <v>91</v>
      </c>
      <c r="D21" s="8" t="s">
        <v>97</v>
      </c>
      <c r="E21" s="8" t="s">
        <v>98</v>
      </c>
      <c r="F21" s="8" t="s">
        <v>99</v>
      </c>
      <c r="G21" s="8"/>
      <c r="H21" s="8"/>
      <c r="I21" s="8"/>
    </row>
    <row r="22" customFormat="false" ht="15" hidden="false" customHeight="false" outlineLevel="0" collapsed="false">
      <c r="A22" s="8" t="s">
        <v>100</v>
      </c>
      <c r="B22" s="8" t="s">
        <v>90</v>
      </c>
      <c r="C22" s="8" t="s">
        <v>91</v>
      </c>
      <c r="D22" s="8" t="s">
        <v>101</v>
      </c>
      <c r="E22" s="8" t="s">
        <v>39</v>
      </c>
      <c r="F22" s="8" t="s">
        <v>57</v>
      </c>
      <c r="G22" s="8"/>
      <c r="H22" s="8"/>
      <c r="I22" s="8"/>
    </row>
    <row r="23" customFormat="false" ht="15" hidden="false" customHeight="false" outlineLevel="0" collapsed="false">
      <c r="A23" s="8" t="s">
        <v>102</v>
      </c>
      <c r="B23" s="8" t="s">
        <v>103</v>
      </c>
      <c r="C23" s="8" t="s">
        <v>91</v>
      </c>
      <c r="D23" s="8" t="s">
        <v>104</v>
      </c>
      <c r="E23" s="8" t="s">
        <v>105</v>
      </c>
      <c r="F23" s="8" t="s">
        <v>61</v>
      </c>
      <c r="G23" s="8"/>
      <c r="H23" s="8"/>
      <c r="I23" s="8"/>
    </row>
    <row r="24" customFormat="false" ht="15" hidden="false" customHeight="false" outlineLevel="0" collapsed="false">
      <c r="A24" s="8" t="s">
        <v>106</v>
      </c>
      <c r="B24" s="8" t="s">
        <v>103</v>
      </c>
      <c r="C24" s="8" t="s">
        <v>91</v>
      </c>
      <c r="D24" s="8" t="s">
        <v>101</v>
      </c>
      <c r="E24" s="8" t="s">
        <v>39</v>
      </c>
      <c r="F24" s="8" t="s">
        <v>61</v>
      </c>
      <c r="G24" s="8"/>
      <c r="H24" s="8"/>
      <c r="I24" s="8"/>
    </row>
    <row r="25" customFormat="false" ht="15" hidden="false" customHeight="false" outlineLevel="0" collapsed="false">
      <c r="A25" s="8" t="s">
        <v>107</v>
      </c>
      <c r="B25" s="8" t="s">
        <v>103</v>
      </c>
      <c r="C25" s="8" t="s">
        <v>91</v>
      </c>
      <c r="D25" s="8" t="s">
        <v>108</v>
      </c>
      <c r="E25" s="8" t="s">
        <v>67</v>
      </c>
      <c r="F25" s="8" t="s">
        <v>61</v>
      </c>
      <c r="G25" s="8"/>
      <c r="H25" s="8"/>
      <c r="I25" s="8"/>
    </row>
    <row r="26" customFormat="false" ht="15" hidden="false" customHeight="false" outlineLevel="0" collapsed="false">
      <c r="A26" s="8" t="s">
        <v>109</v>
      </c>
      <c r="B26" s="8" t="s">
        <v>103</v>
      </c>
      <c r="C26" s="8" t="s">
        <v>91</v>
      </c>
      <c r="D26" s="8" t="s">
        <v>110</v>
      </c>
      <c r="E26" s="8" t="s">
        <v>67</v>
      </c>
      <c r="F26" s="8" t="s">
        <v>57</v>
      </c>
      <c r="G26" s="8"/>
      <c r="H26" s="8"/>
      <c r="I26" s="8"/>
    </row>
    <row r="27" customFormat="false" ht="15" hidden="false" customHeight="false" outlineLevel="0" collapsed="false">
      <c r="A27" s="8" t="s">
        <v>111</v>
      </c>
      <c r="B27" s="8" t="s">
        <v>103</v>
      </c>
      <c r="C27" s="8" t="s">
        <v>91</v>
      </c>
      <c r="D27" s="8" t="s">
        <v>108</v>
      </c>
      <c r="E27" s="8" t="s">
        <v>112</v>
      </c>
      <c r="F27" s="8" t="s">
        <v>57</v>
      </c>
      <c r="G27" s="8"/>
      <c r="H27" s="8"/>
      <c r="I27" s="8"/>
    </row>
    <row r="28" customFormat="false" ht="15" hidden="false" customHeight="false" outlineLevel="0" collapsed="false">
      <c r="A28" s="8" t="s">
        <v>113</v>
      </c>
      <c r="B28" s="8" t="s">
        <v>114</v>
      </c>
      <c r="C28" s="8" t="s">
        <v>91</v>
      </c>
      <c r="D28" s="8" t="s">
        <v>55</v>
      </c>
      <c r="E28" s="8" t="s">
        <v>115</v>
      </c>
      <c r="F28" s="8" t="s">
        <v>57</v>
      </c>
      <c r="G28" s="8"/>
      <c r="H28" s="8"/>
      <c r="I28" s="8"/>
    </row>
    <row r="29" customFormat="false" ht="15" hidden="false" customHeight="false" outlineLevel="0" collapsed="false">
      <c r="A29" s="8" t="s">
        <v>116</v>
      </c>
      <c r="B29" s="8" t="s">
        <v>114</v>
      </c>
      <c r="C29" s="8" t="s">
        <v>91</v>
      </c>
      <c r="D29" s="8" t="s">
        <v>117</v>
      </c>
      <c r="E29" s="8" t="s">
        <v>39</v>
      </c>
      <c r="F29" s="8" t="s">
        <v>57</v>
      </c>
      <c r="G29" s="8"/>
      <c r="H29" s="8"/>
      <c r="I29" s="8"/>
    </row>
    <row r="30" customFormat="false" ht="15" hidden="false" customHeight="false" outlineLevel="0" collapsed="false">
      <c r="A30" s="8" t="s">
        <v>118</v>
      </c>
      <c r="B30" s="8" t="s">
        <v>119</v>
      </c>
      <c r="C30" s="8" t="s">
        <v>91</v>
      </c>
      <c r="D30" s="8" t="s">
        <v>120</v>
      </c>
      <c r="E30" s="8" t="s">
        <v>121</v>
      </c>
      <c r="F30" s="8"/>
      <c r="G30" s="8"/>
      <c r="H30" s="8"/>
      <c r="I30" s="8"/>
    </row>
    <row r="31" customFormat="false" ht="15" hidden="false" customHeight="false" outlineLevel="0" collapsed="false">
      <c r="A31" s="8" t="s">
        <v>122</v>
      </c>
      <c r="B31" s="8" t="s">
        <v>123</v>
      </c>
      <c r="C31" s="8" t="s">
        <v>38</v>
      </c>
      <c r="D31" s="8" t="s">
        <v>97</v>
      </c>
      <c r="E31" s="8"/>
      <c r="F31" s="8"/>
      <c r="G31" s="8"/>
      <c r="H31" s="8"/>
      <c r="I31" s="8"/>
    </row>
    <row r="32" customFormat="false" ht="15" hidden="false" customHeight="false" outlineLevel="0" collapsed="false">
      <c r="A32" s="8" t="s">
        <v>124</v>
      </c>
      <c r="B32" s="8" t="s">
        <v>123</v>
      </c>
      <c r="C32" s="8" t="s">
        <v>38</v>
      </c>
      <c r="D32" s="8" t="s">
        <v>125</v>
      </c>
      <c r="E32" s="8"/>
      <c r="F32" s="8"/>
      <c r="G32" s="8"/>
      <c r="H32" s="8"/>
      <c r="I32" s="8"/>
    </row>
    <row r="33" customFormat="false" ht="15" hidden="false" customHeight="false" outlineLevel="0" collapsed="false">
      <c r="A33" s="8" t="s">
        <v>126</v>
      </c>
      <c r="B33" s="8" t="s">
        <v>127</v>
      </c>
      <c r="C33" s="8" t="s">
        <v>91</v>
      </c>
      <c r="D33" s="8" t="s">
        <v>101</v>
      </c>
      <c r="E33" s="8" t="s">
        <v>67</v>
      </c>
      <c r="F33" s="8" t="s">
        <v>57</v>
      </c>
      <c r="G33" s="8"/>
      <c r="H33" s="8"/>
      <c r="I33" s="8"/>
    </row>
    <row r="34" customFormat="false" ht="15" hidden="false" customHeight="false" outlineLevel="0" collapsed="false">
      <c r="A34" s="8" t="s">
        <v>128</v>
      </c>
      <c r="B34" s="8" t="s">
        <v>127</v>
      </c>
      <c r="C34" s="8" t="s">
        <v>91</v>
      </c>
      <c r="D34" s="8" t="s">
        <v>101</v>
      </c>
      <c r="E34" s="8" t="s">
        <v>129</v>
      </c>
      <c r="F34" s="8" t="s">
        <v>57</v>
      </c>
      <c r="G34" s="8"/>
      <c r="H34" s="8"/>
      <c r="I34" s="8"/>
    </row>
    <row r="35" customFormat="false" ht="15" hidden="false" customHeight="false" outlineLevel="0" collapsed="false">
      <c r="A35" s="8" t="s">
        <v>130</v>
      </c>
      <c r="B35" s="8" t="s">
        <v>127</v>
      </c>
      <c r="C35" s="8" t="s">
        <v>91</v>
      </c>
      <c r="D35" s="8" t="s">
        <v>131</v>
      </c>
      <c r="E35" s="8" t="s">
        <v>132</v>
      </c>
      <c r="F35" s="8" t="s">
        <v>57</v>
      </c>
      <c r="G35" s="8"/>
      <c r="H35" s="8"/>
      <c r="I35" s="8"/>
    </row>
    <row r="36" customFormat="false" ht="15" hidden="false" customHeight="false" outlineLevel="0" collapsed="false">
      <c r="A36" s="8" t="s">
        <v>133</v>
      </c>
      <c r="B36" s="8" t="s">
        <v>127</v>
      </c>
      <c r="C36" s="8" t="s">
        <v>91</v>
      </c>
      <c r="D36" s="8" t="s">
        <v>134</v>
      </c>
      <c r="E36" s="8" t="s">
        <v>115</v>
      </c>
      <c r="F36" s="8" t="s">
        <v>48</v>
      </c>
      <c r="G36" s="8"/>
      <c r="H36" s="8"/>
      <c r="I36" s="8"/>
    </row>
    <row r="37" customFormat="false" ht="15" hidden="false" customHeight="false" outlineLevel="0" collapsed="false">
      <c r="A37" s="8" t="s">
        <v>135</v>
      </c>
      <c r="B37" s="8" t="s">
        <v>136</v>
      </c>
      <c r="C37" s="8" t="s">
        <v>91</v>
      </c>
      <c r="D37" s="8" t="s">
        <v>131</v>
      </c>
      <c r="E37" s="8" t="s">
        <v>46</v>
      </c>
      <c r="F37" s="8" t="s">
        <v>137</v>
      </c>
      <c r="G37" s="8"/>
      <c r="H37" s="8"/>
      <c r="I37" s="8"/>
    </row>
    <row r="38" customFormat="false" ht="15" hidden="false" customHeight="false" outlineLevel="0" collapsed="false">
      <c r="A38" s="8" t="s">
        <v>138</v>
      </c>
      <c r="B38" s="8" t="s">
        <v>136</v>
      </c>
      <c r="C38" s="8" t="s">
        <v>91</v>
      </c>
      <c r="D38" s="8" t="s">
        <v>55</v>
      </c>
      <c r="E38" s="8" t="s">
        <v>66</v>
      </c>
      <c r="F38" s="8" t="s">
        <v>48</v>
      </c>
      <c r="G38" s="8"/>
      <c r="H38" s="8"/>
      <c r="I38" s="8"/>
    </row>
    <row r="39" customFormat="false" ht="15" hidden="false" customHeight="false" outlineLevel="0" collapsed="false">
      <c r="A39" s="8" t="s">
        <v>139</v>
      </c>
      <c r="B39" s="8" t="s">
        <v>136</v>
      </c>
      <c r="C39" s="8" t="s">
        <v>91</v>
      </c>
      <c r="D39" s="8" t="s">
        <v>55</v>
      </c>
      <c r="E39" s="8" t="s">
        <v>140</v>
      </c>
      <c r="F39" s="8" t="s">
        <v>48</v>
      </c>
      <c r="G39" s="8"/>
      <c r="H39" s="8"/>
      <c r="I39" s="8"/>
    </row>
    <row r="40" customFormat="false" ht="15" hidden="false" customHeight="false" outlineLevel="0" collapsed="false">
      <c r="A40" s="8" t="s">
        <v>141</v>
      </c>
      <c r="B40" s="8" t="s">
        <v>136</v>
      </c>
      <c r="C40" s="8" t="s">
        <v>91</v>
      </c>
      <c r="D40" s="8" t="s">
        <v>142</v>
      </c>
      <c r="E40" s="8" t="s">
        <v>129</v>
      </c>
      <c r="F40" s="8" t="s">
        <v>57</v>
      </c>
      <c r="G40" s="8"/>
      <c r="H40" s="8"/>
      <c r="I40" s="8"/>
    </row>
    <row r="41" customFormat="false" ht="15" hidden="false" customHeight="false" outlineLevel="0" collapsed="false">
      <c r="A41" s="8" t="s">
        <v>143</v>
      </c>
      <c r="B41" s="8" t="s">
        <v>144</v>
      </c>
      <c r="C41" s="8" t="s">
        <v>91</v>
      </c>
      <c r="D41" s="8" t="s">
        <v>145</v>
      </c>
      <c r="E41" s="8" t="s">
        <v>132</v>
      </c>
      <c r="F41" s="8" t="s">
        <v>57</v>
      </c>
      <c r="G41" s="8"/>
      <c r="H41" s="8"/>
      <c r="I41" s="8"/>
    </row>
    <row r="42" customFormat="false" ht="15" hidden="false" customHeight="false" outlineLevel="0" collapsed="false">
      <c r="A42" s="8" t="s">
        <v>146</v>
      </c>
      <c r="B42" s="8" t="s">
        <v>144</v>
      </c>
      <c r="C42" s="8" t="s">
        <v>91</v>
      </c>
      <c r="D42" s="8" t="s">
        <v>147</v>
      </c>
      <c r="E42" s="8" t="s">
        <v>46</v>
      </c>
      <c r="F42" s="8" t="s">
        <v>148</v>
      </c>
      <c r="G42" s="8"/>
      <c r="H42" s="8"/>
      <c r="I42" s="8"/>
    </row>
    <row r="43" customFormat="false" ht="15" hidden="false" customHeight="false" outlineLevel="0" collapsed="false">
      <c r="A43" s="8" t="s">
        <v>149</v>
      </c>
      <c r="B43" s="8" t="s">
        <v>144</v>
      </c>
      <c r="C43" s="8" t="s">
        <v>91</v>
      </c>
      <c r="D43" s="8" t="s">
        <v>85</v>
      </c>
      <c r="E43" s="8" t="s">
        <v>129</v>
      </c>
      <c r="F43" s="8" t="s">
        <v>57</v>
      </c>
      <c r="G43" s="8"/>
      <c r="H43" s="8"/>
      <c r="I43" s="8"/>
    </row>
    <row r="44" customFormat="false" ht="15" hidden="false" customHeight="false" outlineLevel="0" collapsed="false">
      <c r="A44" s="8" t="s">
        <v>150</v>
      </c>
      <c r="B44" s="8" t="s">
        <v>144</v>
      </c>
      <c r="C44" s="8" t="s">
        <v>91</v>
      </c>
      <c r="D44" s="8" t="s">
        <v>142</v>
      </c>
      <c r="E44" s="8" t="s">
        <v>129</v>
      </c>
      <c r="F44" s="8" t="s">
        <v>57</v>
      </c>
      <c r="G44" s="8"/>
      <c r="H44" s="8"/>
      <c r="I44" s="8"/>
    </row>
    <row r="45" customFormat="false" ht="15" hidden="false" customHeight="false" outlineLevel="0" collapsed="false">
      <c r="A45" s="8" t="s">
        <v>151</v>
      </c>
      <c r="B45" s="8" t="s">
        <v>144</v>
      </c>
      <c r="C45" s="8" t="s">
        <v>91</v>
      </c>
      <c r="D45" s="8" t="s">
        <v>152</v>
      </c>
      <c r="E45" s="8" t="s">
        <v>129</v>
      </c>
      <c r="F45" s="8" t="s">
        <v>57</v>
      </c>
      <c r="G45" s="8"/>
      <c r="H45" s="8"/>
      <c r="I45" s="8"/>
    </row>
    <row r="46" customFormat="false" ht="15" hidden="false" customHeight="false" outlineLevel="0" collapsed="false">
      <c r="A46" s="8" t="s">
        <v>153</v>
      </c>
      <c r="B46" s="8" t="s">
        <v>144</v>
      </c>
      <c r="C46" s="8" t="s">
        <v>91</v>
      </c>
      <c r="D46" s="8" t="s">
        <v>60</v>
      </c>
      <c r="E46" s="8" t="s">
        <v>140</v>
      </c>
      <c r="F46" s="8" t="s">
        <v>48</v>
      </c>
      <c r="G46" s="8"/>
      <c r="H46" s="8"/>
      <c r="I46" s="8"/>
    </row>
    <row r="47" customFormat="false" ht="15" hidden="false" customHeight="false" outlineLevel="0" collapsed="false">
      <c r="A47" s="8" t="s">
        <v>154</v>
      </c>
      <c r="B47" s="8" t="s">
        <v>144</v>
      </c>
      <c r="C47" s="8" t="s">
        <v>91</v>
      </c>
      <c r="D47" s="8" t="s">
        <v>155</v>
      </c>
      <c r="E47" s="8" t="s">
        <v>156</v>
      </c>
      <c r="F47" s="8" t="s">
        <v>57</v>
      </c>
      <c r="G47" s="8"/>
      <c r="H47" s="8"/>
      <c r="I47" s="8"/>
    </row>
    <row r="48" customFormat="false" ht="15" hidden="false" customHeight="false" outlineLevel="0" collapsed="false">
      <c r="A48" s="8" t="s">
        <v>157</v>
      </c>
      <c r="B48" s="8" t="s">
        <v>144</v>
      </c>
      <c r="C48" s="8" t="s">
        <v>91</v>
      </c>
      <c r="D48" s="8" t="s">
        <v>158</v>
      </c>
      <c r="E48" s="8" t="s">
        <v>129</v>
      </c>
      <c r="F48" s="8" t="s">
        <v>57</v>
      </c>
      <c r="G48" s="8"/>
      <c r="H48" s="8"/>
      <c r="I48" s="8" t="s">
        <v>159</v>
      </c>
    </row>
    <row r="49" customFormat="false" ht="15" hidden="false" customHeight="false" outlineLevel="0" collapsed="false">
      <c r="A49" s="8" t="s">
        <v>160</v>
      </c>
      <c r="B49" s="8" t="s">
        <v>161</v>
      </c>
      <c r="C49" s="8" t="s">
        <v>91</v>
      </c>
      <c r="D49" s="8" t="s">
        <v>162</v>
      </c>
      <c r="E49" s="8" t="s">
        <v>132</v>
      </c>
      <c r="F49" s="8" t="s">
        <v>57</v>
      </c>
      <c r="G49" s="8"/>
      <c r="H49" s="8"/>
      <c r="I49" s="8" t="s">
        <v>163</v>
      </c>
    </row>
    <row r="50" customFormat="false" ht="15" hidden="false" customHeight="false" outlineLevel="0" collapsed="false">
      <c r="A50" s="8" t="s">
        <v>164</v>
      </c>
      <c r="B50" s="8" t="s">
        <v>161</v>
      </c>
      <c r="C50" s="8" t="s">
        <v>91</v>
      </c>
      <c r="D50" s="8" t="s">
        <v>165</v>
      </c>
      <c r="E50" s="8" t="s">
        <v>166</v>
      </c>
      <c r="F50" s="8" t="s">
        <v>167</v>
      </c>
      <c r="G50" s="8"/>
      <c r="H50" s="8"/>
      <c r="I50" s="8"/>
    </row>
    <row r="51" customFormat="false" ht="15" hidden="false" customHeight="false" outlineLevel="0" collapsed="false">
      <c r="A51" s="8" t="s">
        <v>168</v>
      </c>
      <c r="B51" s="8" t="s">
        <v>161</v>
      </c>
      <c r="C51" s="8" t="s">
        <v>91</v>
      </c>
      <c r="D51" s="8" t="s">
        <v>142</v>
      </c>
      <c r="E51" s="8" t="s">
        <v>140</v>
      </c>
      <c r="F51" s="8" t="s">
        <v>48</v>
      </c>
      <c r="G51" s="8"/>
      <c r="H51" s="8"/>
      <c r="I51" s="8" t="s">
        <v>169</v>
      </c>
    </row>
    <row r="52" customFormat="false" ht="15" hidden="false" customHeight="false" outlineLevel="0" collapsed="false">
      <c r="A52" s="8" t="s">
        <v>170</v>
      </c>
      <c r="B52" s="8" t="s">
        <v>161</v>
      </c>
      <c r="C52" s="8" t="s">
        <v>91</v>
      </c>
      <c r="D52" s="8" t="s">
        <v>85</v>
      </c>
      <c r="E52" s="8" t="s">
        <v>129</v>
      </c>
      <c r="F52" s="8" t="s">
        <v>57</v>
      </c>
      <c r="G52" s="8" t="s">
        <v>171</v>
      </c>
      <c r="H52" s="8"/>
      <c r="I52" s="8" t="s">
        <v>172</v>
      </c>
    </row>
    <row r="53" customFormat="false" ht="15" hidden="false" customHeight="false" outlineLevel="0" collapsed="false">
      <c r="A53" s="8" t="s">
        <v>173</v>
      </c>
      <c r="B53" s="8" t="s">
        <v>161</v>
      </c>
      <c r="C53" s="8" t="s">
        <v>91</v>
      </c>
      <c r="D53" s="8" t="s">
        <v>174</v>
      </c>
      <c r="E53" s="8" t="s">
        <v>175</v>
      </c>
      <c r="F53" s="8" t="s">
        <v>95</v>
      </c>
      <c r="G53" s="8"/>
      <c r="H53" s="8"/>
      <c r="I53" s="8"/>
    </row>
    <row r="54" customFormat="false" ht="15" hidden="false" customHeight="false" outlineLevel="0" collapsed="false">
      <c r="A54" s="8" t="s">
        <v>176</v>
      </c>
      <c r="B54" s="8" t="s">
        <v>177</v>
      </c>
      <c r="C54" s="8" t="s">
        <v>91</v>
      </c>
      <c r="D54" s="8" t="s">
        <v>178</v>
      </c>
      <c r="E54" s="8" t="s">
        <v>175</v>
      </c>
      <c r="F54" s="8" t="s">
        <v>53</v>
      </c>
      <c r="G54" s="8"/>
      <c r="H54" s="8"/>
      <c r="I54" s="8"/>
    </row>
    <row r="55" customFormat="false" ht="15" hidden="false" customHeight="false" outlineLevel="0" collapsed="false">
      <c r="A55" s="8" t="s">
        <v>179</v>
      </c>
      <c r="B55" s="8" t="s">
        <v>180</v>
      </c>
      <c r="C55" s="8" t="s">
        <v>91</v>
      </c>
      <c r="D55" s="8" t="s">
        <v>181</v>
      </c>
      <c r="E55" s="8" t="s">
        <v>166</v>
      </c>
      <c r="F55" s="8" t="s">
        <v>182</v>
      </c>
      <c r="G55" s="8"/>
      <c r="H55" s="8"/>
      <c r="I55" s="8"/>
    </row>
    <row r="56" customFormat="false" ht="15" hidden="false" customHeight="false" outlineLevel="0" collapsed="false">
      <c r="A56" s="8" t="s">
        <v>183</v>
      </c>
      <c r="B56" s="8" t="s">
        <v>180</v>
      </c>
      <c r="C56" s="8" t="s">
        <v>91</v>
      </c>
      <c r="D56" s="8" t="s">
        <v>181</v>
      </c>
      <c r="E56" s="8" t="s">
        <v>166</v>
      </c>
      <c r="F56" s="8" t="s">
        <v>148</v>
      </c>
      <c r="G56" s="8"/>
      <c r="H56" s="8"/>
      <c r="I56" s="8"/>
    </row>
    <row r="57" customFormat="false" ht="15" hidden="false" customHeight="false" outlineLevel="0" collapsed="false">
      <c r="A57" s="8" t="s">
        <v>184</v>
      </c>
      <c r="B57" s="8" t="s">
        <v>185</v>
      </c>
      <c r="C57" s="8" t="s">
        <v>91</v>
      </c>
      <c r="D57" s="8" t="s">
        <v>174</v>
      </c>
      <c r="E57" s="8" t="s">
        <v>166</v>
      </c>
      <c r="F57" s="8" t="s">
        <v>148</v>
      </c>
      <c r="G57" s="8"/>
      <c r="H57" s="8"/>
      <c r="I57" s="8"/>
    </row>
    <row r="58" customFormat="false" ht="15" hidden="false" customHeight="false" outlineLevel="0" collapsed="false">
      <c r="A58" s="8" t="s">
        <v>186</v>
      </c>
      <c r="B58" s="8" t="s">
        <v>187</v>
      </c>
      <c r="C58" s="8" t="s">
        <v>91</v>
      </c>
      <c r="D58" s="8" t="s">
        <v>188</v>
      </c>
      <c r="E58" s="8" t="s">
        <v>175</v>
      </c>
      <c r="F58" s="8" t="s">
        <v>167</v>
      </c>
      <c r="G58" s="8"/>
      <c r="H58" s="8"/>
      <c r="I58" s="8"/>
    </row>
    <row r="59" customFormat="false" ht="15" hidden="false" customHeight="false" outlineLevel="0" collapsed="false">
      <c r="A59" s="8" t="s">
        <v>189</v>
      </c>
      <c r="B59" s="8" t="s">
        <v>187</v>
      </c>
      <c r="C59" s="8" t="s">
        <v>91</v>
      </c>
      <c r="D59" s="8" t="s">
        <v>190</v>
      </c>
      <c r="E59" s="8" t="s">
        <v>166</v>
      </c>
      <c r="F59" s="8" t="s">
        <v>148</v>
      </c>
      <c r="G59" s="8"/>
      <c r="H59" s="8"/>
      <c r="I59" s="8"/>
    </row>
    <row r="60" customFormat="false" ht="15" hidden="false" customHeight="false" outlineLevel="0" collapsed="false">
      <c r="A60" s="8" t="s">
        <v>191</v>
      </c>
      <c r="B60" s="8" t="s">
        <v>185</v>
      </c>
      <c r="C60" s="8" t="s">
        <v>91</v>
      </c>
      <c r="D60" s="8" t="s">
        <v>192</v>
      </c>
      <c r="E60" s="8" t="s">
        <v>193</v>
      </c>
      <c r="F60" s="8" t="s">
        <v>99</v>
      </c>
      <c r="G60" s="8"/>
      <c r="H60" s="8"/>
      <c r="I60" s="8"/>
    </row>
    <row r="61" customFormat="false" ht="15" hidden="false" customHeight="false" outlineLevel="0" collapsed="false">
      <c r="A61" s="8" t="s">
        <v>194</v>
      </c>
      <c r="B61" s="8" t="s">
        <v>195</v>
      </c>
      <c r="C61" s="8" t="s">
        <v>91</v>
      </c>
      <c r="D61" s="8" t="s">
        <v>174</v>
      </c>
      <c r="E61" s="8" t="s">
        <v>196</v>
      </c>
      <c r="F61" s="8" t="s">
        <v>167</v>
      </c>
      <c r="G61" s="8"/>
      <c r="H61" s="8"/>
      <c r="I61" s="8"/>
    </row>
    <row r="62" customFormat="false" ht="15" hidden="false" customHeight="false" outlineLevel="0" collapsed="false">
      <c r="A62" s="8" t="s">
        <v>197</v>
      </c>
      <c r="B62" s="8" t="s">
        <v>195</v>
      </c>
      <c r="C62" s="8" t="s">
        <v>91</v>
      </c>
      <c r="D62" s="8" t="s">
        <v>155</v>
      </c>
      <c r="E62" s="8" t="s">
        <v>198</v>
      </c>
      <c r="F62" s="8" t="s">
        <v>48</v>
      </c>
      <c r="G62" s="8"/>
      <c r="H62" s="8" t="s">
        <v>199</v>
      </c>
      <c r="I62" s="8" t="s">
        <v>200</v>
      </c>
    </row>
    <row r="63" customFormat="false" ht="15" hidden="false" customHeight="false" outlineLevel="0" collapsed="false">
      <c r="A63" s="8" t="s">
        <v>201</v>
      </c>
      <c r="B63" s="8" t="s">
        <v>195</v>
      </c>
      <c r="C63" s="8" t="s">
        <v>91</v>
      </c>
      <c r="D63" s="8" t="s">
        <v>192</v>
      </c>
      <c r="E63" s="8" t="s">
        <v>193</v>
      </c>
      <c r="F63" s="8" t="s">
        <v>182</v>
      </c>
      <c r="G63" s="8"/>
      <c r="H63" s="8"/>
      <c r="I63" s="8"/>
    </row>
    <row r="64" customFormat="false" ht="15" hidden="false" customHeight="false" outlineLevel="0" collapsed="false">
      <c r="A64" s="8" t="s">
        <v>202</v>
      </c>
      <c r="B64" s="8" t="s">
        <v>195</v>
      </c>
      <c r="C64" s="8" t="s">
        <v>91</v>
      </c>
      <c r="D64" s="8" t="s">
        <v>203</v>
      </c>
      <c r="E64" s="8" t="s">
        <v>51</v>
      </c>
      <c r="F64" s="8" t="s">
        <v>53</v>
      </c>
      <c r="G64" s="8"/>
      <c r="H64" s="8"/>
      <c r="I64" s="8"/>
    </row>
    <row r="65" customFormat="false" ht="15" hidden="false" customHeight="false" outlineLevel="0" collapsed="false">
      <c r="A65" s="8" t="s">
        <v>204</v>
      </c>
      <c r="B65" s="8" t="s">
        <v>195</v>
      </c>
      <c r="C65" s="8" t="s">
        <v>91</v>
      </c>
      <c r="D65" s="8" t="s">
        <v>205</v>
      </c>
      <c r="E65" s="8" t="s">
        <v>193</v>
      </c>
      <c r="F65" s="8" t="s">
        <v>182</v>
      </c>
      <c r="G65" s="8"/>
      <c r="H65" s="8"/>
      <c r="I65" s="8"/>
    </row>
    <row r="66" customFormat="false" ht="15" hidden="false" customHeight="false" outlineLevel="0" collapsed="false">
      <c r="A66" s="8" t="s">
        <v>206</v>
      </c>
      <c r="B66" s="8" t="s">
        <v>195</v>
      </c>
      <c r="C66" s="8" t="s">
        <v>91</v>
      </c>
      <c r="D66" s="8" t="s">
        <v>207</v>
      </c>
      <c r="E66" s="8" t="s">
        <v>198</v>
      </c>
      <c r="F66" s="8" t="s">
        <v>48</v>
      </c>
      <c r="G66" s="8" t="s">
        <v>208</v>
      </c>
      <c r="H66" s="8"/>
      <c r="I66" s="8"/>
    </row>
    <row r="67" customFormat="false" ht="15" hidden="false" customHeight="false" outlineLevel="0" collapsed="false">
      <c r="A67" s="8" t="s">
        <v>209</v>
      </c>
      <c r="B67" s="8" t="s">
        <v>195</v>
      </c>
      <c r="C67" s="8" t="s">
        <v>91</v>
      </c>
      <c r="D67" s="8" t="s">
        <v>210</v>
      </c>
      <c r="E67" s="8" t="s">
        <v>66</v>
      </c>
      <c r="F67" s="8" t="s">
        <v>48</v>
      </c>
      <c r="G67" s="8"/>
      <c r="H67" s="8"/>
      <c r="I67" s="8"/>
    </row>
    <row r="68" customFormat="false" ht="15" hidden="false" customHeight="false" outlineLevel="0" collapsed="false">
      <c r="A68" s="8" t="s">
        <v>211</v>
      </c>
      <c r="B68" s="8" t="s">
        <v>212</v>
      </c>
      <c r="C68" s="8" t="s">
        <v>91</v>
      </c>
      <c r="D68" s="8" t="s">
        <v>213</v>
      </c>
      <c r="E68" s="8" t="s">
        <v>196</v>
      </c>
      <c r="F68" s="8" t="s">
        <v>148</v>
      </c>
      <c r="G68" s="8"/>
      <c r="H68" s="8"/>
      <c r="I68" s="8"/>
    </row>
    <row r="69" customFormat="false" ht="15" hidden="false" customHeight="false" outlineLevel="0" collapsed="false">
      <c r="A69" s="8" t="s">
        <v>214</v>
      </c>
      <c r="B69" s="8" t="s">
        <v>215</v>
      </c>
      <c r="C69" s="8" t="s">
        <v>91</v>
      </c>
      <c r="D69" s="8" t="s">
        <v>216</v>
      </c>
      <c r="E69" s="8" t="s">
        <v>217</v>
      </c>
      <c r="F69" s="8" t="s">
        <v>218</v>
      </c>
      <c r="G69" s="8"/>
      <c r="H69" s="8"/>
      <c r="I69" s="8"/>
    </row>
    <row r="70" customFormat="false" ht="15" hidden="false" customHeight="false" outlineLevel="0" collapsed="false">
      <c r="A70" s="8" t="s">
        <v>219</v>
      </c>
      <c r="B70" s="8" t="s">
        <v>215</v>
      </c>
      <c r="C70" s="8" t="s">
        <v>91</v>
      </c>
      <c r="D70" s="8" t="s">
        <v>178</v>
      </c>
      <c r="E70" s="8" t="s">
        <v>217</v>
      </c>
      <c r="F70" s="8" t="s">
        <v>220</v>
      </c>
      <c r="G70" s="8"/>
      <c r="H70" s="8"/>
      <c r="I70" s="8"/>
    </row>
    <row r="71" customFormat="false" ht="15" hidden="false" customHeight="false" outlineLevel="0" collapsed="false">
      <c r="A71" s="8" t="s">
        <v>221</v>
      </c>
      <c r="B71" s="8" t="s">
        <v>215</v>
      </c>
      <c r="C71" s="8" t="s">
        <v>91</v>
      </c>
      <c r="D71" s="8" t="s">
        <v>213</v>
      </c>
      <c r="E71" s="8" t="s">
        <v>193</v>
      </c>
      <c r="F71" s="8" t="s">
        <v>220</v>
      </c>
      <c r="G71" s="8"/>
      <c r="H71" s="8"/>
      <c r="I71" s="8"/>
    </row>
    <row r="72" customFormat="false" ht="15" hidden="false" customHeight="false" outlineLevel="0" collapsed="false">
      <c r="A72" s="8" t="s">
        <v>222</v>
      </c>
      <c r="B72" s="8" t="s">
        <v>215</v>
      </c>
      <c r="C72" s="8" t="s">
        <v>91</v>
      </c>
      <c r="D72" s="8" t="s">
        <v>213</v>
      </c>
      <c r="E72" s="8" t="s">
        <v>223</v>
      </c>
      <c r="F72" s="8" t="s">
        <v>224</v>
      </c>
      <c r="G72" s="8"/>
      <c r="H72" s="8"/>
      <c r="I72" s="8"/>
    </row>
    <row r="73" customFormat="false" ht="15" hidden="false" customHeight="false" outlineLevel="0" collapsed="false">
      <c r="A73" s="8" t="s">
        <v>225</v>
      </c>
      <c r="B73" s="8" t="s">
        <v>215</v>
      </c>
      <c r="C73" s="8" t="s">
        <v>91</v>
      </c>
      <c r="D73" s="8" t="s">
        <v>205</v>
      </c>
      <c r="E73" s="8" t="s">
        <v>223</v>
      </c>
      <c r="F73" s="8" t="s">
        <v>224</v>
      </c>
      <c r="G73" s="8"/>
      <c r="H73" s="8"/>
      <c r="I73" s="8"/>
    </row>
    <row r="74" customFormat="false" ht="15" hidden="false" customHeight="false" outlineLevel="0" collapsed="false">
      <c r="A74" s="8" t="s">
        <v>226</v>
      </c>
      <c r="B74" s="8" t="s">
        <v>227</v>
      </c>
      <c r="C74" s="8" t="s">
        <v>228</v>
      </c>
      <c r="D74" s="8" t="s">
        <v>229</v>
      </c>
      <c r="E74" s="8" t="s">
        <v>117</v>
      </c>
      <c r="F74" s="8" t="s">
        <v>53</v>
      </c>
      <c r="G74" s="8" t="s">
        <v>230</v>
      </c>
      <c r="H74" s="8"/>
      <c r="I74" s="8"/>
    </row>
    <row r="75" customFormat="false" ht="15" hidden="false" customHeight="false" outlineLevel="0" collapsed="false">
      <c r="A75" s="8" t="s">
        <v>231</v>
      </c>
      <c r="B75" s="8" t="s">
        <v>227</v>
      </c>
      <c r="C75" s="8" t="s">
        <v>228</v>
      </c>
      <c r="D75" s="8" t="s">
        <v>232</v>
      </c>
      <c r="E75" s="8" t="s">
        <v>233</v>
      </c>
      <c r="F75" s="8" t="s">
        <v>57</v>
      </c>
      <c r="G75" s="8" t="s">
        <v>234</v>
      </c>
      <c r="H75" s="8" t="s">
        <v>235</v>
      </c>
      <c r="I75" s="8" t="s">
        <v>236</v>
      </c>
    </row>
    <row r="76" customFormat="false" ht="15" hidden="false" customHeight="false" outlineLevel="0" collapsed="false">
      <c r="A76" s="8" t="s">
        <v>237</v>
      </c>
      <c r="B76" s="8" t="s">
        <v>227</v>
      </c>
      <c r="C76" s="8" t="s">
        <v>228</v>
      </c>
      <c r="D76" s="8" t="s">
        <v>229</v>
      </c>
      <c r="E76" s="8" t="s">
        <v>238</v>
      </c>
      <c r="F76" s="8" t="s">
        <v>57</v>
      </c>
      <c r="G76" s="8" t="s">
        <v>239</v>
      </c>
      <c r="H76" s="8" t="s">
        <v>236</v>
      </c>
      <c r="I76" s="8" t="s">
        <v>236</v>
      </c>
    </row>
    <row r="77" customFormat="false" ht="15" hidden="false" customHeight="false" outlineLevel="0" collapsed="false">
      <c r="A77" s="8" t="s">
        <v>240</v>
      </c>
      <c r="B77" s="8" t="s">
        <v>227</v>
      </c>
      <c r="C77" s="8" t="s">
        <v>228</v>
      </c>
      <c r="D77" s="8" t="s">
        <v>232</v>
      </c>
      <c r="E77" s="8" t="s">
        <v>233</v>
      </c>
      <c r="F77" s="8" t="s">
        <v>57</v>
      </c>
      <c r="G77" s="8" t="s">
        <v>208</v>
      </c>
      <c r="H77" s="8" t="s">
        <v>241</v>
      </c>
      <c r="I77" s="8" t="s">
        <v>235</v>
      </c>
    </row>
    <row r="78" customFormat="false" ht="15" hidden="false" customHeight="false" outlineLevel="0" collapsed="false">
      <c r="A78" s="8" t="s">
        <v>242</v>
      </c>
      <c r="B78" s="8" t="s">
        <v>227</v>
      </c>
      <c r="C78" s="8" t="s">
        <v>228</v>
      </c>
      <c r="D78" s="8" t="s">
        <v>229</v>
      </c>
      <c r="E78" s="8" t="s">
        <v>238</v>
      </c>
      <c r="F78" s="8" t="s">
        <v>57</v>
      </c>
      <c r="G78" s="8" t="s">
        <v>243</v>
      </c>
      <c r="H78" s="8" t="s">
        <v>172</v>
      </c>
      <c r="I78" s="8" t="s">
        <v>236</v>
      </c>
    </row>
    <row r="79" customFormat="false" ht="15" hidden="false" customHeight="false" outlineLevel="0" collapsed="false">
      <c r="A79" s="8" t="s">
        <v>244</v>
      </c>
      <c r="B79" s="8" t="s">
        <v>227</v>
      </c>
      <c r="C79" s="8" t="s">
        <v>228</v>
      </c>
      <c r="D79" s="8" t="s">
        <v>88</v>
      </c>
      <c r="E79" s="8" t="s">
        <v>245</v>
      </c>
      <c r="F79" s="8" t="s">
        <v>137</v>
      </c>
      <c r="G79" s="8"/>
      <c r="H79" s="8"/>
      <c r="I79" s="8"/>
    </row>
    <row r="80" customFormat="false" ht="15" hidden="false" customHeight="false" outlineLevel="0" collapsed="false">
      <c r="A80" s="8" t="s">
        <v>246</v>
      </c>
      <c r="B80" s="8" t="s">
        <v>227</v>
      </c>
      <c r="C80" s="8" t="s">
        <v>228</v>
      </c>
      <c r="D80" s="8" t="s">
        <v>88</v>
      </c>
      <c r="E80" s="8" t="s">
        <v>245</v>
      </c>
      <c r="F80" s="8" t="s">
        <v>182</v>
      </c>
      <c r="G80" s="8"/>
      <c r="H80" s="8"/>
      <c r="I80" s="8"/>
    </row>
    <row r="81" customFormat="false" ht="15" hidden="false" customHeight="false" outlineLevel="0" collapsed="false">
      <c r="A81" s="8" t="s">
        <v>247</v>
      </c>
      <c r="B81" s="8" t="s">
        <v>227</v>
      </c>
      <c r="C81" s="8" t="s">
        <v>228</v>
      </c>
      <c r="D81" s="8" t="s">
        <v>229</v>
      </c>
      <c r="E81" s="8" t="s">
        <v>238</v>
      </c>
      <c r="F81" s="8" t="s">
        <v>61</v>
      </c>
      <c r="G81" s="8" t="s">
        <v>248</v>
      </c>
      <c r="H81" s="8" t="s">
        <v>249</v>
      </c>
      <c r="I81" s="8" t="s">
        <v>163</v>
      </c>
    </row>
    <row r="82" customFormat="false" ht="15" hidden="false" customHeight="false" outlineLevel="0" collapsed="false">
      <c r="A82" s="8" t="s">
        <v>250</v>
      </c>
      <c r="B82" s="8" t="s">
        <v>227</v>
      </c>
      <c r="C82" s="8" t="s">
        <v>228</v>
      </c>
      <c r="D82" s="8" t="s">
        <v>251</v>
      </c>
      <c r="E82" s="8" t="s">
        <v>233</v>
      </c>
      <c r="F82" s="8" t="s">
        <v>57</v>
      </c>
      <c r="G82" s="8" t="s">
        <v>234</v>
      </c>
      <c r="H82" s="8" t="s">
        <v>241</v>
      </c>
      <c r="I82" s="8" t="s">
        <v>252</v>
      </c>
    </row>
    <row r="83" customFormat="false" ht="15" hidden="false" customHeight="false" outlineLevel="0" collapsed="false">
      <c r="A83" s="8" t="s">
        <v>253</v>
      </c>
      <c r="B83" s="8" t="s">
        <v>227</v>
      </c>
      <c r="C83" s="8" t="s">
        <v>228</v>
      </c>
      <c r="D83" s="8" t="s">
        <v>254</v>
      </c>
      <c r="E83" s="8" t="s">
        <v>233</v>
      </c>
      <c r="F83" s="8" t="s">
        <v>57</v>
      </c>
      <c r="G83" s="8" t="s">
        <v>234</v>
      </c>
      <c r="H83" s="8" t="s">
        <v>252</v>
      </c>
      <c r="I83" s="8" t="s">
        <v>252</v>
      </c>
    </row>
    <row r="84" customFormat="false" ht="15" hidden="false" customHeight="false" outlineLevel="0" collapsed="false">
      <c r="A84" s="8" t="s">
        <v>255</v>
      </c>
      <c r="B84" s="8" t="s">
        <v>227</v>
      </c>
      <c r="C84" s="8" t="s">
        <v>228</v>
      </c>
      <c r="D84" s="8" t="s">
        <v>256</v>
      </c>
      <c r="E84" s="8" t="s">
        <v>257</v>
      </c>
      <c r="F84" s="8" t="s">
        <v>57</v>
      </c>
      <c r="G84" s="8" t="s">
        <v>234</v>
      </c>
      <c r="H84" s="8" t="s">
        <v>159</v>
      </c>
      <c r="I84" s="8" t="s">
        <v>258</v>
      </c>
    </row>
    <row r="85" customFormat="false" ht="15" hidden="false" customHeight="false" outlineLevel="0" collapsed="false">
      <c r="A85" s="8" t="s">
        <v>259</v>
      </c>
      <c r="B85" s="8" t="s">
        <v>260</v>
      </c>
      <c r="C85" s="8" t="s">
        <v>261</v>
      </c>
      <c r="D85" s="8" t="s">
        <v>256</v>
      </c>
      <c r="E85" s="8" t="s">
        <v>262</v>
      </c>
      <c r="F85" s="8" t="s">
        <v>95</v>
      </c>
      <c r="G85" s="8" t="s">
        <v>263</v>
      </c>
      <c r="H85" s="8" t="s">
        <v>264</v>
      </c>
      <c r="I85" s="8" t="s">
        <v>172</v>
      </c>
    </row>
    <row r="86" customFormat="false" ht="15" hidden="false" customHeight="false" outlineLevel="0" collapsed="false">
      <c r="A86" s="8" t="s">
        <v>265</v>
      </c>
      <c r="B86" s="8" t="s">
        <v>260</v>
      </c>
      <c r="C86" s="8" t="s">
        <v>261</v>
      </c>
      <c r="D86" s="8" t="s">
        <v>266</v>
      </c>
      <c r="E86" s="8" t="s">
        <v>117</v>
      </c>
      <c r="F86" s="8" t="s">
        <v>95</v>
      </c>
      <c r="G86" s="8" t="s">
        <v>267</v>
      </c>
      <c r="H86" s="8" t="s">
        <v>159</v>
      </c>
      <c r="I86" s="8" t="s">
        <v>268</v>
      </c>
    </row>
    <row r="87" customFormat="false" ht="15" hidden="false" customHeight="false" outlineLevel="0" collapsed="false">
      <c r="A87" s="8" t="s">
        <v>269</v>
      </c>
      <c r="B87" s="8" t="s">
        <v>260</v>
      </c>
      <c r="C87" s="8" t="s">
        <v>261</v>
      </c>
      <c r="D87" s="8" t="s">
        <v>270</v>
      </c>
      <c r="E87" s="8" t="s">
        <v>238</v>
      </c>
      <c r="F87" s="8" t="s">
        <v>61</v>
      </c>
      <c r="G87" s="8" t="s">
        <v>271</v>
      </c>
      <c r="H87" s="8" t="s">
        <v>159</v>
      </c>
      <c r="I87" s="8" t="s">
        <v>159</v>
      </c>
    </row>
    <row r="88" customFormat="false" ht="15" hidden="false" customHeight="false" outlineLevel="0" collapsed="false">
      <c r="A88" s="8" t="s">
        <v>272</v>
      </c>
      <c r="B88" s="8" t="s">
        <v>260</v>
      </c>
      <c r="C88" s="8" t="s">
        <v>261</v>
      </c>
      <c r="D88" s="8" t="s">
        <v>273</v>
      </c>
      <c r="E88" s="8" t="s">
        <v>274</v>
      </c>
      <c r="F88" s="8" t="s">
        <v>182</v>
      </c>
      <c r="G88" s="8" t="s">
        <v>275</v>
      </c>
      <c r="H88" s="8" t="s">
        <v>172</v>
      </c>
      <c r="I88" s="8" t="s">
        <v>159</v>
      </c>
    </row>
    <row r="89" customFormat="false" ht="15" hidden="false" customHeight="false" outlineLevel="0" collapsed="false">
      <c r="A89" s="8" t="s">
        <v>276</v>
      </c>
      <c r="B89" s="8" t="s">
        <v>260</v>
      </c>
      <c r="C89" s="8" t="s">
        <v>261</v>
      </c>
      <c r="D89" s="8" t="s">
        <v>266</v>
      </c>
      <c r="E89" s="8" t="s">
        <v>117</v>
      </c>
      <c r="F89" s="8" t="s">
        <v>95</v>
      </c>
      <c r="G89" s="8" t="s">
        <v>277</v>
      </c>
      <c r="H89" s="8" t="s">
        <v>278</v>
      </c>
      <c r="I89" s="8" t="s">
        <v>249</v>
      </c>
    </row>
    <row r="90" customFormat="false" ht="15" hidden="false" customHeight="false" outlineLevel="0" collapsed="false">
      <c r="A90" s="8" t="s">
        <v>279</v>
      </c>
      <c r="B90" s="8" t="s">
        <v>260</v>
      </c>
      <c r="C90" s="8" t="s">
        <v>261</v>
      </c>
      <c r="D90" s="8" t="s">
        <v>266</v>
      </c>
      <c r="E90" s="8" t="s">
        <v>238</v>
      </c>
      <c r="F90" s="8" t="s">
        <v>61</v>
      </c>
      <c r="G90" s="8" t="s">
        <v>208</v>
      </c>
      <c r="H90" s="8" t="s">
        <v>268</v>
      </c>
      <c r="I90" s="8" t="s">
        <v>268</v>
      </c>
    </row>
    <row r="91" customFormat="false" ht="15" hidden="false" customHeight="false" outlineLevel="0" collapsed="false">
      <c r="A91" s="8" t="s">
        <v>280</v>
      </c>
      <c r="B91" s="8" t="s">
        <v>260</v>
      </c>
      <c r="C91" s="8" t="s">
        <v>261</v>
      </c>
      <c r="D91" s="8" t="s">
        <v>270</v>
      </c>
      <c r="E91" s="8" t="s">
        <v>238</v>
      </c>
      <c r="F91" s="8" t="s">
        <v>48</v>
      </c>
      <c r="G91" s="8" t="s">
        <v>239</v>
      </c>
      <c r="H91" s="8" t="s">
        <v>172</v>
      </c>
      <c r="I91" s="8" t="s">
        <v>159</v>
      </c>
    </row>
    <row r="92" customFormat="false" ht="15" hidden="false" customHeight="false" outlineLevel="0" collapsed="false">
      <c r="A92" s="8" t="s">
        <v>281</v>
      </c>
      <c r="B92" s="8" t="s">
        <v>260</v>
      </c>
      <c r="C92" s="8" t="s">
        <v>261</v>
      </c>
      <c r="D92" s="8" t="s">
        <v>270</v>
      </c>
      <c r="E92" s="8" t="s">
        <v>238</v>
      </c>
      <c r="F92" s="8" t="s">
        <v>48</v>
      </c>
      <c r="G92" s="8" t="s">
        <v>248</v>
      </c>
      <c r="H92" s="8" t="s">
        <v>172</v>
      </c>
      <c r="I92" s="8" t="s">
        <v>172</v>
      </c>
    </row>
    <row r="93" customFormat="false" ht="15" hidden="false" customHeight="false" outlineLevel="0" collapsed="false">
      <c r="A93" s="8" t="s">
        <v>282</v>
      </c>
      <c r="B93" s="8" t="s">
        <v>260</v>
      </c>
      <c r="C93" s="8" t="s">
        <v>261</v>
      </c>
      <c r="D93" s="8" t="s">
        <v>266</v>
      </c>
      <c r="E93" s="8" t="s">
        <v>233</v>
      </c>
      <c r="F93" s="8" t="s">
        <v>57</v>
      </c>
      <c r="G93" s="8" t="s">
        <v>208</v>
      </c>
      <c r="H93" s="8" t="s">
        <v>159</v>
      </c>
      <c r="I93" s="8" t="s">
        <v>163</v>
      </c>
    </row>
    <row r="94" customFormat="false" ht="15" hidden="false" customHeight="false" outlineLevel="0" collapsed="false">
      <c r="A94" s="8" t="s">
        <v>283</v>
      </c>
      <c r="B94" s="8" t="s">
        <v>260</v>
      </c>
      <c r="C94" s="8" t="s">
        <v>261</v>
      </c>
      <c r="D94" s="8" t="s">
        <v>284</v>
      </c>
      <c r="E94" s="8" t="s">
        <v>233</v>
      </c>
      <c r="F94" s="8" t="s">
        <v>57</v>
      </c>
      <c r="G94" s="8" t="s">
        <v>234</v>
      </c>
      <c r="H94" s="8" t="s">
        <v>241</v>
      </c>
      <c r="I94" s="8" t="s">
        <v>241</v>
      </c>
    </row>
    <row r="95" customFormat="false" ht="15" hidden="false" customHeight="false" outlineLevel="0" collapsed="false">
      <c r="A95" s="8" t="s">
        <v>285</v>
      </c>
      <c r="B95" s="8" t="s">
        <v>260</v>
      </c>
      <c r="C95" s="8" t="s">
        <v>261</v>
      </c>
      <c r="D95" s="8" t="s">
        <v>284</v>
      </c>
      <c r="E95" s="8" t="s">
        <v>233</v>
      </c>
      <c r="F95" s="8" t="s">
        <v>57</v>
      </c>
      <c r="G95" s="8" t="s">
        <v>208</v>
      </c>
      <c r="H95" s="8" t="s">
        <v>286</v>
      </c>
      <c r="I95" s="8" t="s">
        <v>286</v>
      </c>
    </row>
    <row r="96" customFormat="false" ht="15" hidden="false" customHeight="false" outlineLevel="0" collapsed="false">
      <c r="A96" s="8" t="s">
        <v>287</v>
      </c>
      <c r="B96" s="8" t="s">
        <v>260</v>
      </c>
      <c r="C96" s="8" t="s">
        <v>261</v>
      </c>
      <c r="D96" s="8" t="s">
        <v>270</v>
      </c>
      <c r="E96" s="8" t="s">
        <v>238</v>
      </c>
      <c r="F96" s="8" t="s">
        <v>61</v>
      </c>
      <c r="G96" s="8" t="s">
        <v>267</v>
      </c>
      <c r="H96" s="8" t="s">
        <v>241</v>
      </c>
      <c r="I96" s="8" t="s">
        <v>258</v>
      </c>
    </row>
    <row r="97" customFormat="false" ht="15" hidden="false" customHeight="false" outlineLevel="0" collapsed="false">
      <c r="A97" s="8" t="s">
        <v>288</v>
      </c>
      <c r="B97" s="8" t="s">
        <v>260</v>
      </c>
      <c r="C97" s="8" t="s">
        <v>261</v>
      </c>
      <c r="D97" s="8" t="s">
        <v>266</v>
      </c>
      <c r="E97" s="8" t="s">
        <v>238</v>
      </c>
      <c r="F97" s="8" t="s">
        <v>48</v>
      </c>
      <c r="G97" s="8" t="s">
        <v>271</v>
      </c>
      <c r="H97" s="8" t="s">
        <v>278</v>
      </c>
      <c r="I97" s="8" t="s">
        <v>163</v>
      </c>
    </row>
    <row r="98" customFormat="false" ht="15" hidden="false" customHeight="false" outlineLevel="0" collapsed="false">
      <c r="A98" s="8" t="s">
        <v>289</v>
      </c>
      <c r="B98" s="8" t="s">
        <v>260</v>
      </c>
      <c r="C98" s="8" t="s">
        <v>261</v>
      </c>
      <c r="D98" s="8" t="s">
        <v>270</v>
      </c>
      <c r="E98" s="8" t="s">
        <v>117</v>
      </c>
      <c r="F98" s="8" t="s">
        <v>53</v>
      </c>
      <c r="G98" s="8" t="s">
        <v>267</v>
      </c>
      <c r="H98" s="8" t="s">
        <v>258</v>
      </c>
      <c r="I98" s="8" t="s">
        <v>235</v>
      </c>
    </row>
    <row r="99" customFormat="false" ht="15" hidden="false" customHeight="false" outlineLevel="0" collapsed="false">
      <c r="A99" s="8" t="s">
        <v>290</v>
      </c>
      <c r="B99" s="8" t="s">
        <v>260</v>
      </c>
      <c r="C99" s="8" t="s">
        <v>261</v>
      </c>
      <c r="D99" s="8" t="s">
        <v>270</v>
      </c>
      <c r="E99" s="8" t="s">
        <v>238</v>
      </c>
      <c r="F99" s="8" t="s">
        <v>48</v>
      </c>
      <c r="G99" s="8" t="s">
        <v>271</v>
      </c>
      <c r="H99" s="8" t="s">
        <v>236</v>
      </c>
      <c r="I99" s="8" t="s">
        <v>236</v>
      </c>
    </row>
    <row r="100" customFormat="false" ht="15" hidden="false" customHeight="false" outlineLevel="0" collapsed="false">
      <c r="A100" s="8" t="s">
        <v>291</v>
      </c>
      <c r="B100" s="8" t="s">
        <v>260</v>
      </c>
      <c r="C100" s="8" t="s">
        <v>261</v>
      </c>
      <c r="D100" s="8" t="s">
        <v>292</v>
      </c>
      <c r="E100" s="8" t="s">
        <v>233</v>
      </c>
      <c r="F100" s="8" t="s">
        <v>57</v>
      </c>
      <c r="G100" s="8" t="s">
        <v>208</v>
      </c>
      <c r="H100" s="8" t="s">
        <v>278</v>
      </c>
      <c r="I100" s="8" t="s">
        <v>278</v>
      </c>
    </row>
    <row r="101" customFormat="false" ht="15" hidden="false" customHeight="false" outlineLevel="0" collapsed="false">
      <c r="A101" s="8" t="s">
        <v>293</v>
      </c>
      <c r="B101" s="8" t="s">
        <v>260</v>
      </c>
      <c r="C101" s="8" t="s">
        <v>261</v>
      </c>
      <c r="D101" s="8" t="s">
        <v>270</v>
      </c>
      <c r="E101" s="8" t="s">
        <v>238</v>
      </c>
      <c r="F101" s="8" t="s">
        <v>48</v>
      </c>
      <c r="G101" s="8" t="s">
        <v>271</v>
      </c>
      <c r="H101" s="8" t="s">
        <v>249</v>
      </c>
      <c r="I101" s="8" t="s">
        <v>163</v>
      </c>
    </row>
    <row r="102" customFormat="false" ht="15" hidden="false" customHeight="false" outlineLevel="0" collapsed="false">
      <c r="A102" s="8" t="s">
        <v>294</v>
      </c>
      <c r="B102" s="8" t="s">
        <v>260</v>
      </c>
      <c r="C102" s="8" t="s">
        <v>261</v>
      </c>
      <c r="D102" s="8" t="s">
        <v>266</v>
      </c>
      <c r="E102" s="8" t="s">
        <v>117</v>
      </c>
      <c r="F102" s="8" t="s">
        <v>53</v>
      </c>
      <c r="G102" s="8" t="s">
        <v>295</v>
      </c>
      <c r="H102" s="8" t="s">
        <v>296</v>
      </c>
      <c r="I102" s="8" t="s">
        <v>297</v>
      </c>
    </row>
    <row r="103" customFormat="false" ht="15" hidden="false" customHeight="false" outlineLevel="0" collapsed="false">
      <c r="A103" s="8" t="s">
        <v>298</v>
      </c>
      <c r="B103" s="8" t="s">
        <v>260</v>
      </c>
      <c r="C103" s="8" t="s">
        <v>261</v>
      </c>
      <c r="D103" s="8" t="s">
        <v>256</v>
      </c>
      <c r="E103" s="8" t="s">
        <v>299</v>
      </c>
      <c r="F103" s="8" t="s">
        <v>61</v>
      </c>
      <c r="G103" s="8" t="s">
        <v>208</v>
      </c>
      <c r="H103" s="8" t="s">
        <v>300</v>
      </c>
      <c r="I103" s="8" t="s">
        <v>301</v>
      </c>
    </row>
    <row r="104" customFormat="false" ht="15" hidden="false" customHeight="false" outlineLevel="0" collapsed="false">
      <c r="A104" s="8" t="s">
        <v>302</v>
      </c>
      <c r="B104" s="8" t="s">
        <v>260</v>
      </c>
      <c r="C104" s="8" t="s">
        <v>261</v>
      </c>
      <c r="D104" s="8" t="s">
        <v>266</v>
      </c>
      <c r="E104" s="8" t="s">
        <v>238</v>
      </c>
      <c r="F104" s="8" t="s">
        <v>57</v>
      </c>
      <c r="G104" s="8" t="s">
        <v>303</v>
      </c>
      <c r="H104" s="8" t="s">
        <v>304</v>
      </c>
      <c r="I104" s="8" t="s">
        <v>304</v>
      </c>
    </row>
    <row r="105" customFormat="false" ht="15" hidden="false" customHeight="false" outlineLevel="0" collapsed="false">
      <c r="A105" s="8" t="s">
        <v>305</v>
      </c>
      <c r="B105" s="8" t="s">
        <v>260</v>
      </c>
      <c r="C105" s="8" t="s">
        <v>261</v>
      </c>
      <c r="D105" s="8" t="s">
        <v>306</v>
      </c>
      <c r="E105" s="8" t="s">
        <v>233</v>
      </c>
      <c r="F105" s="8" t="s">
        <v>57</v>
      </c>
      <c r="G105" s="8" t="s">
        <v>303</v>
      </c>
      <c r="H105" s="8" t="s">
        <v>241</v>
      </c>
      <c r="I105" s="8" t="s">
        <v>241</v>
      </c>
    </row>
    <row r="106" customFormat="false" ht="15" hidden="false" customHeight="false" outlineLevel="0" collapsed="false">
      <c r="A106" s="8" t="s">
        <v>307</v>
      </c>
      <c r="B106" s="8" t="s">
        <v>260</v>
      </c>
      <c r="C106" s="8" t="s">
        <v>261</v>
      </c>
      <c r="D106" s="8" t="s">
        <v>254</v>
      </c>
      <c r="E106" s="8" t="s">
        <v>233</v>
      </c>
      <c r="F106" s="8" t="s">
        <v>57</v>
      </c>
      <c r="G106" s="8" t="s">
        <v>308</v>
      </c>
      <c r="H106" s="8" t="s">
        <v>252</v>
      </c>
      <c r="I106" s="8" t="s">
        <v>252</v>
      </c>
    </row>
    <row r="107" customFormat="false" ht="15" hidden="false" customHeight="false" outlineLevel="0" collapsed="false">
      <c r="A107" s="8" t="s">
        <v>309</v>
      </c>
      <c r="B107" s="8" t="s">
        <v>260</v>
      </c>
      <c r="C107" s="8" t="s">
        <v>261</v>
      </c>
      <c r="D107" s="8" t="s">
        <v>310</v>
      </c>
      <c r="E107" s="8" t="s">
        <v>233</v>
      </c>
      <c r="F107" s="8" t="s">
        <v>57</v>
      </c>
      <c r="G107" s="8" t="s">
        <v>311</v>
      </c>
      <c r="H107" s="8" t="s">
        <v>252</v>
      </c>
      <c r="I107" s="8" t="s">
        <v>252</v>
      </c>
    </row>
    <row r="108" customFormat="false" ht="15" hidden="false" customHeight="false" outlineLevel="0" collapsed="false">
      <c r="A108" s="8" t="s">
        <v>312</v>
      </c>
      <c r="B108" s="8" t="s">
        <v>260</v>
      </c>
      <c r="C108" s="8" t="s">
        <v>313</v>
      </c>
      <c r="D108" s="8" t="s">
        <v>292</v>
      </c>
      <c r="E108" s="8" t="s">
        <v>108</v>
      </c>
      <c r="F108" s="8" t="s">
        <v>314</v>
      </c>
      <c r="G108" s="8" t="s">
        <v>308</v>
      </c>
      <c r="H108" s="8" t="s">
        <v>236</v>
      </c>
      <c r="I108" s="8" t="s">
        <v>236</v>
      </c>
    </row>
    <row r="109" customFormat="false" ht="15" hidden="false" customHeight="false" outlineLevel="0" collapsed="false">
      <c r="A109" s="8" t="s">
        <v>315</v>
      </c>
      <c r="B109" s="8" t="s">
        <v>260</v>
      </c>
      <c r="C109" s="8" t="s">
        <v>313</v>
      </c>
      <c r="D109" s="8" t="s">
        <v>254</v>
      </c>
      <c r="E109" s="8" t="s">
        <v>108</v>
      </c>
      <c r="F109" s="8" t="s">
        <v>314</v>
      </c>
      <c r="G109" s="8" t="s">
        <v>308</v>
      </c>
      <c r="H109" s="8" t="s">
        <v>252</v>
      </c>
      <c r="I109" s="8" t="s">
        <v>286</v>
      </c>
    </row>
    <row r="110" customFormat="false" ht="15" hidden="false" customHeight="false" outlineLevel="0" collapsed="false">
      <c r="A110" s="8" t="s">
        <v>316</v>
      </c>
      <c r="B110" s="8" t="s">
        <v>317</v>
      </c>
      <c r="C110" s="8" t="s">
        <v>313</v>
      </c>
      <c r="D110" s="8" t="s">
        <v>318</v>
      </c>
      <c r="E110" s="8" t="s">
        <v>134</v>
      </c>
      <c r="F110" s="8" t="s">
        <v>319</v>
      </c>
      <c r="G110" s="8" t="s">
        <v>320</v>
      </c>
      <c r="H110" s="8" t="s">
        <v>321</v>
      </c>
      <c r="I110" s="8" t="s">
        <v>322</v>
      </c>
    </row>
    <row r="111" customFormat="false" ht="15" hidden="false" customHeight="false" outlineLevel="0" collapsed="false">
      <c r="A111" s="8" t="s">
        <v>323</v>
      </c>
      <c r="B111" s="8" t="s">
        <v>317</v>
      </c>
      <c r="C111" s="8" t="s">
        <v>313</v>
      </c>
      <c r="D111" s="8" t="s">
        <v>284</v>
      </c>
      <c r="E111" s="8" t="s">
        <v>101</v>
      </c>
      <c r="F111" s="8" t="s">
        <v>314</v>
      </c>
      <c r="G111" s="8" t="s">
        <v>311</v>
      </c>
      <c r="H111" s="8" t="s">
        <v>286</v>
      </c>
      <c r="I111" s="8" t="s">
        <v>241</v>
      </c>
    </row>
    <row r="112" customFormat="false" ht="15" hidden="false" customHeight="false" outlineLevel="0" collapsed="false">
      <c r="A112" s="8" t="s">
        <v>324</v>
      </c>
      <c r="B112" s="8" t="s">
        <v>317</v>
      </c>
      <c r="C112" s="8" t="s">
        <v>313</v>
      </c>
      <c r="D112" s="8" t="s">
        <v>270</v>
      </c>
      <c r="E112" s="8" t="s">
        <v>55</v>
      </c>
      <c r="F112" s="8" t="s">
        <v>325</v>
      </c>
      <c r="G112" s="8" t="s">
        <v>326</v>
      </c>
      <c r="H112" s="8" t="s">
        <v>172</v>
      </c>
      <c r="I112" s="8" t="s">
        <v>268</v>
      </c>
    </row>
    <row r="113" customFormat="false" ht="15" hidden="false" customHeight="false" outlineLevel="0" collapsed="false">
      <c r="A113" s="8" t="s">
        <v>327</v>
      </c>
      <c r="B113" s="8" t="s">
        <v>317</v>
      </c>
      <c r="C113" s="8" t="s">
        <v>313</v>
      </c>
      <c r="D113" s="8" t="s">
        <v>292</v>
      </c>
      <c r="E113" s="8" t="s">
        <v>101</v>
      </c>
      <c r="F113" s="8" t="s">
        <v>325</v>
      </c>
      <c r="G113" s="8" t="s">
        <v>328</v>
      </c>
      <c r="H113" s="8" t="s">
        <v>172</v>
      </c>
      <c r="I113" s="8" t="s">
        <v>268</v>
      </c>
    </row>
    <row r="114" customFormat="false" ht="15" hidden="false" customHeight="false" outlineLevel="0" collapsed="false">
      <c r="A114" s="8" t="s">
        <v>329</v>
      </c>
      <c r="B114" s="8" t="s">
        <v>317</v>
      </c>
      <c r="C114" s="8" t="s">
        <v>313</v>
      </c>
      <c r="D114" s="8" t="s">
        <v>330</v>
      </c>
      <c r="E114" s="8" t="s">
        <v>331</v>
      </c>
      <c r="F114" s="8" t="s">
        <v>332</v>
      </c>
      <c r="G114" s="8" t="s">
        <v>333</v>
      </c>
      <c r="H114" s="8"/>
      <c r="I114" s="8"/>
    </row>
    <row r="115" customFormat="false" ht="15" hidden="false" customHeight="false" outlineLevel="0" collapsed="false">
      <c r="A115" s="8" t="s">
        <v>334</v>
      </c>
      <c r="B115" s="8" t="s">
        <v>317</v>
      </c>
      <c r="C115" s="8" t="s">
        <v>313</v>
      </c>
      <c r="D115" s="8" t="s">
        <v>335</v>
      </c>
      <c r="E115" s="8" t="s">
        <v>134</v>
      </c>
      <c r="F115" s="8" t="s">
        <v>336</v>
      </c>
      <c r="G115" s="8" t="s">
        <v>326</v>
      </c>
      <c r="H115" s="8" t="s">
        <v>169</v>
      </c>
      <c r="I115" s="8" t="s">
        <v>322</v>
      </c>
    </row>
    <row r="116" customFormat="false" ht="15" hidden="false" customHeight="false" outlineLevel="0" collapsed="false">
      <c r="A116" s="8" t="s">
        <v>337</v>
      </c>
      <c r="B116" s="8" t="s">
        <v>338</v>
      </c>
      <c r="C116" s="8" t="s">
        <v>313</v>
      </c>
      <c r="D116" s="8" t="s">
        <v>339</v>
      </c>
      <c r="E116" s="8" t="s">
        <v>331</v>
      </c>
      <c r="F116" s="8" t="s">
        <v>340</v>
      </c>
      <c r="G116" s="8"/>
      <c r="H116" s="8"/>
      <c r="I116" s="8"/>
    </row>
    <row r="117" customFormat="false" ht="15" hidden="false" customHeight="false" outlineLevel="0" collapsed="false">
      <c r="A117" s="8" t="s">
        <v>341</v>
      </c>
      <c r="B117" s="8" t="s">
        <v>338</v>
      </c>
      <c r="C117" s="8" t="s">
        <v>313</v>
      </c>
      <c r="D117" s="8" t="s">
        <v>342</v>
      </c>
      <c r="E117" s="8" t="s">
        <v>343</v>
      </c>
      <c r="F117" s="8" t="s">
        <v>319</v>
      </c>
      <c r="G117" s="8" t="s">
        <v>326</v>
      </c>
      <c r="H117" s="8" t="s">
        <v>297</v>
      </c>
      <c r="I117" s="8" t="s">
        <v>297</v>
      </c>
    </row>
    <row r="118" customFormat="false" ht="15" hidden="false" customHeight="false" outlineLevel="0" collapsed="false">
      <c r="A118" s="8" t="s">
        <v>344</v>
      </c>
      <c r="B118" s="8" t="s">
        <v>338</v>
      </c>
      <c r="C118" s="8" t="s">
        <v>313</v>
      </c>
      <c r="D118" s="8" t="s">
        <v>345</v>
      </c>
      <c r="E118" s="8" t="s">
        <v>55</v>
      </c>
      <c r="F118" s="8" t="s">
        <v>314</v>
      </c>
      <c r="G118" s="8" t="s">
        <v>239</v>
      </c>
      <c r="H118" s="8"/>
      <c r="I118" s="8"/>
    </row>
    <row r="119" customFormat="false" ht="15" hidden="false" customHeight="false" outlineLevel="0" collapsed="false">
      <c r="A119" s="8" t="s">
        <v>346</v>
      </c>
      <c r="B119" s="8" t="s">
        <v>338</v>
      </c>
      <c r="C119" s="8" t="s">
        <v>313</v>
      </c>
      <c r="D119" s="8" t="s">
        <v>347</v>
      </c>
      <c r="E119" s="8" t="s">
        <v>181</v>
      </c>
      <c r="F119" s="8" t="s">
        <v>348</v>
      </c>
      <c r="G119" s="8"/>
      <c r="H119" s="8"/>
      <c r="I119" s="8"/>
    </row>
    <row r="120" customFormat="false" ht="15" hidden="false" customHeight="false" outlineLevel="0" collapsed="false">
      <c r="A120" s="8" t="s">
        <v>349</v>
      </c>
      <c r="B120" s="8" t="s">
        <v>350</v>
      </c>
      <c r="C120" s="8" t="s">
        <v>313</v>
      </c>
      <c r="D120" s="8" t="s">
        <v>318</v>
      </c>
      <c r="E120" s="8" t="s">
        <v>134</v>
      </c>
      <c r="F120" s="8" t="s">
        <v>325</v>
      </c>
      <c r="G120" s="8" t="s">
        <v>351</v>
      </c>
      <c r="H120" s="8"/>
      <c r="I120" s="8"/>
    </row>
    <row r="121" customFormat="false" ht="15" hidden="false" customHeight="false" outlineLevel="0" collapsed="false">
      <c r="A121" s="8" t="s">
        <v>352</v>
      </c>
      <c r="B121" s="8" t="s">
        <v>350</v>
      </c>
      <c r="C121" s="8" t="s">
        <v>313</v>
      </c>
      <c r="D121" s="8" t="s">
        <v>353</v>
      </c>
      <c r="E121" s="8" t="s">
        <v>55</v>
      </c>
      <c r="F121" s="8" t="s">
        <v>314</v>
      </c>
      <c r="G121" s="8" t="s">
        <v>354</v>
      </c>
      <c r="H121" s="8" t="s">
        <v>304</v>
      </c>
      <c r="I121" s="8" t="s">
        <v>304</v>
      </c>
    </row>
    <row r="122" customFormat="false" ht="15" hidden="false" customHeight="false" outlineLevel="0" collapsed="false">
      <c r="A122" s="8" t="s">
        <v>355</v>
      </c>
      <c r="B122" s="8" t="s">
        <v>350</v>
      </c>
      <c r="C122" s="8" t="s">
        <v>313</v>
      </c>
      <c r="D122" s="8" t="s">
        <v>353</v>
      </c>
      <c r="E122" s="8" t="s">
        <v>55</v>
      </c>
      <c r="F122" s="8" t="s">
        <v>325</v>
      </c>
      <c r="G122" s="8" t="s">
        <v>320</v>
      </c>
      <c r="H122" s="8" t="s">
        <v>322</v>
      </c>
      <c r="I122" s="8" t="s">
        <v>321</v>
      </c>
    </row>
    <row r="123" customFormat="false" ht="15" hidden="false" customHeight="false" outlineLevel="0" collapsed="false">
      <c r="A123" s="8" t="s">
        <v>356</v>
      </c>
      <c r="B123" s="8" t="s">
        <v>350</v>
      </c>
      <c r="C123" s="8" t="s">
        <v>357</v>
      </c>
      <c r="D123" s="8" t="s">
        <v>318</v>
      </c>
      <c r="E123" s="8" t="s">
        <v>134</v>
      </c>
      <c r="F123" s="8" t="s">
        <v>358</v>
      </c>
      <c r="G123" s="8" t="s">
        <v>359</v>
      </c>
      <c r="H123" s="8" t="s">
        <v>297</v>
      </c>
      <c r="I123" s="8" t="s">
        <v>297</v>
      </c>
    </row>
    <row r="124" customFormat="false" ht="15" hidden="false" customHeight="false" outlineLevel="0" collapsed="false">
      <c r="A124" s="8" t="s">
        <v>360</v>
      </c>
      <c r="B124" s="8" t="s">
        <v>350</v>
      </c>
      <c r="C124" s="8" t="s">
        <v>357</v>
      </c>
      <c r="D124" s="8" t="s">
        <v>353</v>
      </c>
      <c r="E124" s="8" t="s">
        <v>101</v>
      </c>
      <c r="F124" s="8" t="s">
        <v>361</v>
      </c>
      <c r="G124" s="8" t="s">
        <v>359</v>
      </c>
      <c r="H124" s="8" t="s">
        <v>362</v>
      </c>
      <c r="I124" s="8" t="s">
        <v>363</v>
      </c>
    </row>
    <row r="125" customFormat="false" ht="15" hidden="false" customHeight="false" outlineLevel="0" collapsed="false">
      <c r="A125" s="8" t="s">
        <v>364</v>
      </c>
      <c r="B125" s="8" t="s">
        <v>350</v>
      </c>
      <c r="C125" s="8" t="s">
        <v>357</v>
      </c>
      <c r="D125" s="8" t="s">
        <v>318</v>
      </c>
      <c r="E125" s="8" t="s">
        <v>134</v>
      </c>
      <c r="F125" s="8" t="s">
        <v>365</v>
      </c>
      <c r="G125" s="8" t="s">
        <v>351</v>
      </c>
      <c r="H125" s="8" t="s">
        <v>363</v>
      </c>
      <c r="I125" s="8"/>
    </row>
    <row r="126" customFormat="false" ht="15" hidden="false" customHeight="false" outlineLevel="0" collapsed="false">
      <c r="A126" s="8" t="s">
        <v>366</v>
      </c>
      <c r="B126" s="8" t="s">
        <v>350</v>
      </c>
      <c r="C126" s="8" t="s">
        <v>357</v>
      </c>
      <c r="D126" s="8" t="s">
        <v>318</v>
      </c>
      <c r="E126" s="8" t="s">
        <v>134</v>
      </c>
      <c r="F126" s="8" t="s">
        <v>367</v>
      </c>
      <c r="G126" s="8" t="s">
        <v>320</v>
      </c>
      <c r="H126" s="8"/>
      <c r="I126" s="8"/>
    </row>
    <row r="127" customFormat="false" ht="15" hidden="false" customHeight="false" outlineLevel="0" collapsed="false">
      <c r="A127" s="8" t="s">
        <v>368</v>
      </c>
      <c r="B127" s="8" t="s">
        <v>369</v>
      </c>
      <c r="C127" s="8" t="s">
        <v>357</v>
      </c>
      <c r="D127" s="8" t="s">
        <v>370</v>
      </c>
      <c r="E127" s="8" t="s">
        <v>331</v>
      </c>
      <c r="F127" s="8" t="s">
        <v>371</v>
      </c>
      <c r="G127" s="8" t="s">
        <v>372</v>
      </c>
      <c r="H127" s="8"/>
      <c r="I127" s="8"/>
    </row>
    <row r="128" customFormat="false" ht="15" hidden="false" customHeight="false" outlineLevel="0" collapsed="false">
      <c r="A128" s="8" t="s">
        <v>373</v>
      </c>
      <c r="B128" s="8" t="s">
        <v>369</v>
      </c>
      <c r="C128" s="8" t="s">
        <v>357</v>
      </c>
      <c r="D128" s="8" t="s">
        <v>318</v>
      </c>
      <c r="E128" s="8" t="s">
        <v>60</v>
      </c>
      <c r="F128" s="8" t="s">
        <v>367</v>
      </c>
      <c r="G128" s="8" t="s">
        <v>374</v>
      </c>
      <c r="H128" s="8"/>
      <c r="I128" s="8"/>
    </row>
    <row r="129" customFormat="false" ht="15" hidden="false" customHeight="false" outlineLevel="0" collapsed="false">
      <c r="A129" s="8" t="s">
        <v>375</v>
      </c>
      <c r="B129" s="8" t="s">
        <v>369</v>
      </c>
      <c r="C129" s="8" t="s">
        <v>357</v>
      </c>
      <c r="D129" s="8" t="s">
        <v>376</v>
      </c>
      <c r="E129" s="8" t="s">
        <v>188</v>
      </c>
      <c r="F129" s="8" t="s">
        <v>377</v>
      </c>
      <c r="G129" s="8"/>
      <c r="H129" s="8"/>
      <c r="I129" s="8"/>
    </row>
    <row r="130" customFormat="false" ht="15" hidden="false" customHeight="false" outlineLevel="0" collapsed="false">
      <c r="A130" s="8" t="s">
        <v>378</v>
      </c>
      <c r="B130" s="8" t="s">
        <v>379</v>
      </c>
      <c r="C130" s="8" t="s">
        <v>357</v>
      </c>
      <c r="D130" s="8" t="s">
        <v>376</v>
      </c>
      <c r="E130" s="8" t="s">
        <v>188</v>
      </c>
      <c r="F130" s="8" t="s">
        <v>380</v>
      </c>
      <c r="G130" s="8"/>
      <c r="H130" s="8"/>
      <c r="I130" s="8"/>
    </row>
    <row r="131" customFormat="false" ht="15" hidden="false" customHeight="false" outlineLevel="0" collapsed="false">
      <c r="A131" s="8" t="s">
        <v>381</v>
      </c>
      <c r="B131" s="8" t="s">
        <v>379</v>
      </c>
      <c r="C131" s="8" t="s">
        <v>357</v>
      </c>
      <c r="D131" s="8" t="s">
        <v>347</v>
      </c>
      <c r="E131" s="8" t="s">
        <v>188</v>
      </c>
      <c r="F131" s="8" t="s">
        <v>380</v>
      </c>
      <c r="G131" s="8"/>
      <c r="H131" s="8"/>
      <c r="I131" s="8"/>
    </row>
    <row r="132" customFormat="false" ht="15" hidden="false" customHeight="false" outlineLevel="0" collapsed="false">
      <c r="A132" s="8" t="s">
        <v>382</v>
      </c>
      <c r="B132" s="8" t="s">
        <v>379</v>
      </c>
      <c r="C132" s="8" t="s">
        <v>357</v>
      </c>
      <c r="D132" s="8" t="s">
        <v>331</v>
      </c>
      <c r="E132" s="8" t="s">
        <v>331</v>
      </c>
      <c r="F132" s="8" t="s">
        <v>377</v>
      </c>
      <c r="G132" s="8"/>
      <c r="H132" s="8"/>
      <c r="I132" s="8"/>
    </row>
    <row r="133" customFormat="false" ht="15" hidden="false" customHeight="false" outlineLevel="0" collapsed="false">
      <c r="A133" s="8" t="s">
        <v>383</v>
      </c>
      <c r="B133" s="8" t="s">
        <v>379</v>
      </c>
      <c r="C133" s="8" t="s">
        <v>357</v>
      </c>
      <c r="D133" s="8" t="s">
        <v>384</v>
      </c>
      <c r="E133" s="8" t="s">
        <v>385</v>
      </c>
      <c r="F133" s="8" t="s">
        <v>386</v>
      </c>
      <c r="G133" s="8"/>
      <c r="H133" s="8"/>
      <c r="I133" s="8"/>
    </row>
    <row r="134" customFormat="false" ht="15" hidden="false" customHeight="false" outlineLevel="0" collapsed="false">
      <c r="A134" s="8" t="s">
        <v>387</v>
      </c>
      <c r="B134" s="8" t="s">
        <v>379</v>
      </c>
      <c r="C134" s="8" t="s">
        <v>357</v>
      </c>
      <c r="D134" s="8" t="s">
        <v>376</v>
      </c>
      <c r="E134" s="8" t="s">
        <v>188</v>
      </c>
      <c r="F134" s="8" t="s">
        <v>388</v>
      </c>
      <c r="G134" s="8"/>
      <c r="H134" s="8"/>
      <c r="I134" s="8"/>
    </row>
    <row r="135" customFormat="false" ht="15" hidden="false" customHeight="false" outlineLevel="0" collapsed="false">
      <c r="A135" s="8" t="s">
        <v>389</v>
      </c>
      <c r="B135" s="8" t="s">
        <v>390</v>
      </c>
      <c r="C135" s="8" t="s">
        <v>357</v>
      </c>
      <c r="D135" s="8" t="s">
        <v>347</v>
      </c>
      <c r="E135" s="8" t="s">
        <v>188</v>
      </c>
      <c r="F135" s="8" t="s">
        <v>391</v>
      </c>
      <c r="G135" s="8"/>
      <c r="H135" s="8"/>
      <c r="I135" s="8"/>
    </row>
    <row r="136" customFormat="false" ht="15" hidden="false" customHeight="false" outlineLevel="0" collapsed="false">
      <c r="A136" s="8" t="s">
        <v>392</v>
      </c>
      <c r="B136" s="8" t="s">
        <v>390</v>
      </c>
      <c r="C136" s="8" t="s">
        <v>357</v>
      </c>
      <c r="D136" s="8" t="s">
        <v>393</v>
      </c>
      <c r="E136" s="8" t="s">
        <v>188</v>
      </c>
      <c r="F136" s="8" t="s">
        <v>394</v>
      </c>
      <c r="G136" s="8" t="s">
        <v>395</v>
      </c>
      <c r="H136" s="8"/>
      <c r="I136" s="8"/>
    </row>
    <row r="137" customFormat="false" ht="15" hidden="false" customHeight="false" outlineLevel="0" collapsed="false">
      <c r="A137" s="8" t="s">
        <v>396</v>
      </c>
      <c r="B137" s="8" t="s">
        <v>390</v>
      </c>
      <c r="C137" s="8" t="s">
        <v>357</v>
      </c>
      <c r="D137" s="8" t="s">
        <v>393</v>
      </c>
      <c r="E137" s="8" t="s">
        <v>174</v>
      </c>
      <c r="F137" s="8" t="s">
        <v>397</v>
      </c>
      <c r="G137" s="8" t="s">
        <v>398</v>
      </c>
      <c r="H137" s="8"/>
      <c r="I137" s="8"/>
    </row>
    <row r="138" customFormat="false" ht="15" hidden="false" customHeight="false" outlineLevel="0" collapsed="false">
      <c r="A138" s="8" t="s">
        <v>399</v>
      </c>
      <c r="B138" s="8" t="s">
        <v>390</v>
      </c>
      <c r="C138" s="8" t="s">
        <v>357</v>
      </c>
      <c r="D138" s="8" t="s">
        <v>400</v>
      </c>
      <c r="E138" s="8" t="s">
        <v>401</v>
      </c>
      <c r="F138" s="8"/>
      <c r="G138" s="8"/>
      <c r="H138" s="8"/>
      <c r="I138"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13"/>
    <col collapsed="false" customWidth="true" hidden="false" outlineLevel="0" max="5" min="5" style="0" width="30"/>
    <col collapsed="false" customWidth="true" hidden="false" outlineLevel="0" max="9" min="6" style="0" width="9"/>
    <col collapsed="false" customWidth="true" hidden="false" outlineLevel="0" max="10" min="10" style="0" width="10"/>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15"/>
    <col collapsed="false" customWidth="true" hidden="false" outlineLevel="0" max="16" min="15" style="0" width="14"/>
    <col collapsed="false" customWidth="true" hidden="false" outlineLevel="0" max="17" min="17" style="0" width="11"/>
    <col collapsed="false" customWidth="true" hidden="false" outlineLevel="0" max="19" min="18" style="0" width="12"/>
    <col collapsed="false" customWidth="true" hidden="false" outlineLevel="0" max="20" min="20" style="0" width="14"/>
    <col collapsed="false" customWidth="true" hidden="false" outlineLevel="0" max="21" min="21" style="0" width="13"/>
    <col collapsed="false" customWidth="true" hidden="false" outlineLevel="0" max="22" min="22" style="0" width="16"/>
    <col collapsed="false" customWidth="true" hidden="false" outlineLevel="0" max="23" min="23" style="0" width="21"/>
    <col collapsed="false" customWidth="true" hidden="false" outlineLevel="0" max="24" min="24" style="0" width="12"/>
    <col collapsed="false" customWidth="true" hidden="false" outlineLevel="0" max="25" min="25" style="0" width="17"/>
  </cols>
  <sheetData>
    <row r="1" customFormat="false" ht="15" hidden="false" customHeight="false" outlineLevel="0" collapsed="false">
      <c r="A1" s="9" t="s">
        <v>402</v>
      </c>
      <c r="B1" s="9" t="s">
        <v>403</v>
      </c>
      <c r="C1" s="9" t="s">
        <v>404</v>
      </c>
      <c r="D1" s="9" t="s">
        <v>31</v>
      </c>
      <c r="E1" s="9" t="s">
        <v>405</v>
      </c>
      <c r="F1" s="9" t="s">
        <v>406</v>
      </c>
      <c r="G1" s="9" t="s">
        <v>407</v>
      </c>
      <c r="H1" s="9" t="s">
        <v>408</v>
      </c>
      <c r="I1" s="9" t="s">
        <v>409</v>
      </c>
      <c r="J1" s="9" t="s">
        <v>410</v>
      </c>
      <c r="K1" s="9" t="s">
        <v>411</v>
      </c>
      <c r="L1" s="9" t="s">
        <v>412</v>
      </c>
      <c r="M1" s="9" t="s">
        <v>413</v>
      </c>
      <c r="N1" s="9" t="s">
        <v>414</v>
      </c>
      <c r="O1" s="9" t="s">
        <v>415</v>
      </c>
      <c r="P1" s="9" t="s">
        <v>416</v>
      </c>
      <c r="Q1" s="9" t="s">
        <v>417</v>
      </c>
      <c r="R1" s="9" t="s">
        <v>418</v>
      </c>
      <c r="S1" s="9" t="s">
        <v>419</v>
      </c>
      <c r="T1" s="9" t="s">
        <v>420</v>
      </c>
      <c r="U1" s="9" t="s">
        <v>421</v>
      </c>
      <c r="V1" s="9" t="s">
        <v>422</v>
      </c>
      <c r="W1" s="9" t="s">
        <v>423</v>
      </c>
      <c r="X1" s="9" t="s">
        <v>424</v>
      </c>
      <c r="Y1" s="9" t="s">
        <v>425</v>
      </c>
    </row>
    <row r="2" customFormat="false" ht="15" hidden="false" customHeight="false" outlineLevel="0" collapsed="false">
      <c r="A2" s="10" t="n">
        <v>1890</v>
      </c>
      <c r="B2" s="10" t="s">
        <v>426</v>
      </c>
      <c r="C2" s="10" t="s">
        <v>37</v>
      </c>
      <c r="D2" s="10" t="s">
        <v>38</v>
      </c>
      <c r="E2" s="10" t="s">
        <v>38</v>
      </c>
      <c r="F2" s="10" t="n">
        <v>2</v>
      </c>
      <c r="G2" s="10" t="n">
        <v>0</v>
      </c>
      <c r="H2" s="10" t="n">
        <v>0</v>
      </c>
      <c r="I2" s="10" t="n">
        <v>2</v>
      </c>
      <c r="J2" s="11" t="n">
        <v>1</v>
      </c>
      <c r="K2" s="10"/>
      <c r="L2" s="10"/>
      <c r="M2" s="10"/>
      <c r="N2" s="11"/>
      <c r="O2" s="10"/>
      <c r="P2" s="10"/>
      <c r="Q2" s="10"/>
      <c r="R2" s="10" t="s">
        <v>427</v>
      </c>
      <c r="S2" s="10"/>
      <c r="T2" s="10"/>
      <c r="U2" s="10" t="s">
        <v>427</v>
      </c>
      <c r="V2" s="10"/>
      <c r="W2" s="10"/>
      <c r="X2" s="10" t="s">
        <v>427</v>
      </c>
      <c r="Y2" s="10" t="s">
        <v>428</v>
      </c>
    </row>
    <row r="3" customFormat="false" ht="15" hidden="false" customHeight="false" outlineLevel="0" collapsed="false">
      <c r="A3" s="10" t="n">
        <v>1891</v>
      </c>
      <c r="B3" s="10" t="s">
        <v>426</v>
      </c>
      <c r="C3" s="10" t="s">
        <v>41</v>
      </c>
      <c r="D3" s="10" t="s">
        <v>38</v>
      </c>
      <c r="E3" s="10" t="s">
        <v>38</v>
      </c>
      <c r="F3" s="10" t="n">
        <v>2</v>
      </c>
      <c r="G3" s="10" t="n">
        <v>2</v>
      </c>
      <c r="H3" s="10" t="n">
        <v>0</v>
      </c>
      <c r="I3" s="10" t="n">
        <v>4</v>
      </c>
      <c r="J3" s="11" t="n">
        <v>0.5</v>
      </c>
      <c r="K3" s="10"/>
      <c r="L3" s="10"/>
      <c r="M3" s="10"/>
      <c r="N3" s="11"/>
      <c r="O3" s="10"/>
      <c r="P3" s="10"/>
      <c r="Q3" s="10"/>
      <c r="R3" s="10" t="s">
        <v>427</v>
      </c>
      <c r="S3" s="10"/>
      <c r="T3" s="10"/>
      <c r="U3" s="10" t="s">
        <v>427</v>
      </c>
      <c r="V3" s="10"/>
      <c r="W3" s="10"/>
      <c r="X3" s="10" t="s">
        <v>427</v>
      </c>
      <c r="Y3" s="10" t="s">
        <v>427</v>
      </c>
    </row>
    <row r="4" customFormat="false" ht="15" hidden="false" customHeight="false" outlineLevel="0" collapsed="false">
      <c r="A4" s="10" t="n">
        <v>1892</v>
      </c>
      <c r="B4" s="10" t="s">
        <v>426</v>
      </c>
      <c r="C4" s="10" t="s">
        <v>44</v>
      </c>
      <c r="D4" s="10" t="s">
        <v>45</v>
      </c>
      <c r="E4" s="10" t="s">
        <v>429</v>
      </c>
      <c r="F4" s="10" t="n">
        <v>2</v>
      </c>
      <c r="G4" s="10" t="n">
        <v>2</v>
      </c>
      <c r="H4" s="10" t="n">
        <v>1</v>
      </c>
      <c r="I4" s="10" t="n">
        <v>5</v>
      </c>
      <c r="J4" s="11" t="n">
        <v>0.5</v>
      </c>
      <c r="K4" s="10" t="n">
        <v>1</v>
      </c>
      <c r="L4" s="10" t="n">
        <v>1</v>
      </c>
      <c r="M4" s="10" t="n">
        <v>1</v>
      </c>
      <c r="N4" s="11" t="n">
        <v>0.5</v>
      </c>
      <c r="O4" s="10" t="n">
        <v>2</v>
      </c>
      <c r="P4" s="10" t="s">
        <v>427</v>
      </c>
      <c r="Q4" s="10"/>
      <c r="R4" s="10" t="s">
        <v>427</v>
      </c>
      <c r="S4" s="10"/>
      <c r="T4" s="10"/>
      <c r="U4" s="10" t="s">
        <v>427</v>
      </c>
      <c r="V4" s="10"/>
      <c r="W4" s="10"/>
      <c r="X4" s="10" t="s">
        <v>427</v>
      </c>
      <c r="Y4" s="10" t="s">
        <v>427</v>
      </c>
    </row>
    <row r="5" customFormat="false" ht="15" hidden="false" customHeight="false" outlineLevel="0" collapsed="false">
      <c r="A5" s="10" t="n">
        <v>1893</v>
      </c>
      <c r="B5" s="10" t="s">
        <v>426</v>
      </c>
      <c r="C5" s="10" t="s">
        <v>50</v>
      </c>
      <c r="D5" s="10" t="s">
        <v>45</v>
      </c>
      <c r="E5" s="10" t="s">
        <v>429</v>
      </c>
      <c r="F5" s="10" t="n">
        <v>3</v>
      </c>
      <c r="G5" s="10" t="n">
        <v>2</v>
      </c>
      <c r="H5" s="10" t="n">
        <v>1</v>
      </c>
      <c r="I5" s="10" t="n">
        <v>6</v>
      </c>
      <c r="J5" s="11" t="n">
        <v>0.5833</v>
      </c>
      <c r="K5" s="10" t="n">
        <v>1</v>
      </c>
      <c r="L5" s="10" t="n">
        <v>2</v>
      </c>
      <c r="M5" s="10" t="n">
        <v>0</v>
      </c>
      <c r="N5" s="11" t="n">
        <v>0.3333</v>
      </c>
      <c r="O5" s="10" t="n">
        <v>3</v>
      </c>
      <c r="P5" s="10" t="s">
        <v>427</v>
      </c>
      <c r="Q5" s="10"/>
      <c r="R5" s="10" t="s">
        <v>427</v>
      </c>
      <c r="S5" s="10"/>
      <c r="T5" s="10"/>
      <c r="U5" s="10" t="s">
        <v>427</v>
      </c>
      <c r="V5" s="10"/>
      <c r="W5" s="10"/>
      <c r="X5" s="10" t="s">
        <v>427</v>
      </c>
      <c r="Y5" s="10" t="s">
        <v>428</v>
      </c>
    </row>
    <row r="6" customFormat="false" ht="15" hidden="false" customHeight="false" outlineLevel="0" collapsed="false">
      <c r="A6" s="10" t="n">
        <v>1894</v>
      </c>
      <c r="B6" s="10" t="s">
        <v>426</v>
      </c>
      <c r="C6" s="10" t="s">
        <v>50</v>
      </c>
      <c r="D6" s="10" t="s">
        <v>45</v>
      </c>
      <c r="E6" s="10" t="s">
        <v>429</v>
      </c>
      <c r="F6" s="10" t="n">
        <v>6</v>
      </c>
      <c r="G6" s="10" t="n">
        <v>2</v>
      </c>
      <c r="H6" s="10" t="n">
        <v>0</v>
      </c>
      <c r="I6" s="10" t="n">
        <v>8</v>
      </c>
      <c r="J6" s="11" t="n">
        <v>0.75</v>
      </c>
      <c r="K6" s="10" t="n">
        <v>2</v>
      </c>
      <c r="L6" s="10" t="n">
        <v>1</v>
      </c>
      <c r="M6" s="10" t="n">
        <v>0</v>
      </c>
      <c r="N6" s="11" t="n">
        <v>0.6667</v>
      </c>
      <c r="O6" s="10" t="n">
        <v>1</v>
      </c>
      <c r="P6" s="10" t="s">
        <v>427</v>
      </c>
      <c r="Q6" s="10"/>
      <c r="R6" s="10" t="s">
        <v>427</v>
      </c>
      <c r="S6" s="10"/>
      <c r="T6" s="10"/>
      <c r="U6" s="10" t="s">
        <v>427</v>
      </c>
      <c r="V6" s="10"/>
      <c r="W6" s="10"/>
      <c r="X6" s="10" t="s">
        <v>427</v>
      </c>
      <c r="Y6" s="10" t="s">
        <v>428</v>
      </c>
    </row>
    <row r="7" customFormat="false" ht="15" hidden="false" customHeight="false" outlineLevel="0" collapsed="false">
      <c r="A7" s="10" t="n">
        <v>1895</v>
      </c>
      <c r="B7" s="10" t="s">
        <v>426</v>
      </c>
      <c r="C7" s="10" t="s">
        <v>59</v>
      </c>
      <c r="D7" s="10" t="s">
        <v>45</v>
      </c>
      <c r="E7" s="10" t="s">
        <v>429</v>
      </c>
      <c r="F7" s="10" t="n">
        <v>6</v>
      </c>
      <c r="G7" s="10" t="n">
        <v>3</v>
      </c>
      <c r="H7" s="10" t="n">
        <v>0</v>
      </c>
      <c r="I7" s="10" t="n">
        <v>9</v>
      </c>
      <c r="J7" s="11" t="n">
        <v>0.6667</v>
      </c>
      <c r="K7" s="10" t="n">
        <v>2</v>
      </c>
      <c r="L7" s="10" t="n">
        <v>1</v>
      </c>
      <c r="M7" s="10" t="n">
        <v>0</v>
      </c>
      <c r="N7" s="11" t="n">
        <v>0.6667</v>
      </c>
      <c r="O7" s="10" t="n">
        <v>1</v>
      </c>
      <c r="P7" s="10" t="s">
        <v>428</v>
      </c>
      <c r="Q7" s="10"/>
      <c r="R7" s="10" t="s">
        <v>427</v>
      </c>
      <c r="S7" s="10"/>
      <c r="T7" s="10"/>
      <c r="U7" s="10" t="s">
        <v>427</v>
      </c>
      <c r="V7" s="10"/>
      <c r="W7" s="10"/>
      <c r="X7" s="10" t="s">
        <v>427</v>
      </c>
      <c r="Y7" s="10" t="s">
        <v>428</v>
      </c>
    </row>
    <row r="8" customFormat="false" ht="15" hidden="false" customHeight="false" outlineLevel="0" collapsed="false">
      <c r="A8" s="10" t="n">
        <v>1896</v>
      </c>
      <c r="B8" s="10" t="s">
        <v>426</v>
      </c>
      <c r="C8" s="10" t="s">
        <v>63</v>
      </c>
      <c r="D8" s="10" t="s">
        <v>45</v>
      </c>
      <c r="E8" s="10" t="s">
        <v>429</v>
      </c>
      <c r="F8" s="10" t="n">
        <v>6</v>
      </c>
      <c r="G8" s="10" t="n">
        <v>3</v>
      </c>
      <c r="H8" s="10" t="n">
        <v>1</v>
      </c>
      <c r="I8" s="10" t="n">
        <v>10</v>
      </c>
      <c r="J8" s="11" t="n">
        <v>0.65</v>
      </c>
      <c r="K8" s="10" t="n">
        <v>1</v>
      </c>
      <c r="L8" s="10" t="n">
        <v>1</v>
      </c>
      <c r="M8" s="10" t="n">
        <v>1</v>
      </c>
      <c r="N8" s="11" t="n">
        <v>0.5</v>
      </c>
      <c r="O8" s="10" t="n">
        <v>3</v>
      </c>
      <c r="P8" s="10" t="s">
        <v>427</v>
      </c>
      <c r="Q8" s="10"/>
      <c r="R8" s="10" t="s">
        <v>427</v>
      </c>
      <c r="S8" s="10"/>
      <c r="T8" s="10"/>
      <c r="U8" s="10" t="s">
        <v>427</v>
      </c>
      <c r="V8" s="10"/>
      <c r="W8" s="10"/>
      <c r="X8" s="10" t="s">
        <v>427</v>
      </c>
      <c r="Y8" s="10" t="s">
        <v>428</v>
      </c>
    </row>
    <row r="9" customFormat="false" ht="15" hidden="false" customHeight="false" outlineLevel="0" collapsed="false">
      <c r="A9" s="10" t="n">
        <v>1897</v>
      </c>
      <c r="B9" s="10" t="s">
        <v>426</v>
      </c>
      <c r="C9" s="10" t="s">
        <v>63</v>
      </c>
      <c r="D9" s="10" t="s">
        <v>45</v>
      </c>
      <c r="E9" s="10" t="s">
        <v>429</v>
      </c>
      <c r="F9" s="10" t="n">
        <v>5</v>
      </c>
      <c r="G9" s="10" t="n">
        <v>1</v>
      </c>
      <c r="H9" s="10" t="n">
        <v>0</v>
      </c>
      <c r="I9" s="10" t="n">
        <v>6</v>
      </c>
      <c r="J9" s="11" t="n">
        <v>0.8333</v>
      </c>
      <c r="K9" s="10" t="n">
        <v>3</v>
      </c>
      <c r="L9" s="10" t="n">
        <v>0</v>
      </c>
      <c r="M9" s="10" t="n">
        <v>0</v>
      </c>
      <c r="N9" s="11" t="n">
        <v>1</v>
      </c>
      <c r="O9" s="10" t="n">
        <v>1</v>
      </c>
      <c r="P9" s="10" t="s">
        <v>427</v>
      </c>
      <c r="Q9" s="10"/>
      <c r="R9" s="10" t="s">
        <v>427</v>
      </c>
      <c r="S9" s="10"/>
      <c r="T9" s="10"/>
      <c r="U9" s="10" t="s">
        <v>427</v>
      </c>
      <c r="V9" s="10"/>
      <c r="W9" s="10"/>
      <c r="X9" s="10" t="s">
        <v>427</v>
      </c>
      <c r="Y9" s="10" t="s">
        <v>428</v>
      </c>
    </row>
    <row r="10" customFormat="false" ht="15" hidden="false" customHeight="false" outlineLevel="0" collapsed="false">
      <c r="A10" s="10" t="n">
        <v>1898</v>
      </c>
      <c r="B10" s="10" t="s">
        <v>426</v>
      </c>
      <c r="C10" s="10" t="s">
        <v>69</v>
      </c>
      <c r="D10" s="10" t="s">
        <v>38</v>
      </c>
      <c r="E10" s="10" t="s">
        <v>38</v>
      </c>
      <c r="F10" s="10" t="n">
        <v>8</v>
      </c>
      <c r="G10" s="10" t="n">
        <v>3</v>
      </c>
      <c r="H10" s="10" t="n">
        <v>0</v>
      </c>
      <c r="I10" s="10" t="n">
        <v>11</v>
      </c>
      <c r="J10" s="11" t="n">
        <v>0.7273</v>
      </c>
      <c r="K10" s="10"/>
      <c r="L10" s="10"/>
      <c r="M10" s="10"/>
      <c r="N10" s="11"/>
      <c r="O10" s="10"/>
      <c r="P10" s="10"/>
      <c r="Q10" s="10"/>
      <c r="R10" s="10" t="s">
        <v>427</v>
      </c>
      <c r="S10" s="10"/>
      <c r="T10" s="10"/>
      <c r="U10" s="10" t="s">
        <v>427</v>
      </c>
      <c r="V10" s="10"/>
      <c r="W10" s="10"/>
      <c r="X10" s="10" t="s">
        <v>427</v>
      </c>
      <c r="Y10" s="10" t="s">
        <v>428</v>
      </c>
    </row>
    <row r="11" customFormat="false" ht="15" hidden="false" customHeight="false" outlineLevel="0" collapsed="false">
      <c r="A11" s="10" t="n">
        <v>1899</v>
      </c>
      <c r="B11" s="10" t="s">
        <v>426</v>
      </c>
      <c r="C11" s="10" t="s">
        <v>72</v>
      </c>
      <c r="D11" s="10" t="s">
        <v>38</v>
      </c>
      <c r="E11" s="10" t="s">
        <v>38</v>
      </c>
      <c r="F11" s="10" t="n">
        <v>1</v>
      </c>
      <c r="G11" s="10" t="n">
        <v>7</v>
      </c>
      <c r="H11" s="10" t="n">
        <v>1</v>
      </c>
      <c r="I11" s="10" t="n">
        <v>9</v>
      </c>
      <c r="J11" s="11" t="n">
        <v>0.1667</v>
      </c>
      <c r="K11" s="10"/>
      <c r="L11" s="10"/>
      <c r="M11" s="10"/>
      <c r="N11" s="11"/>
      <c r="O11" s="10"/>
      <c r="P11" s="10"/>
      <c r="Q11" s="10"/>
      <c r="R11" s="10" t="s">
        <v>427</v>
      </c>
      <c r="S11" s="10"/>
      <c r="T11" s="10"/>
      <c r="U11" s="10" t="s">
        <v>427</v>
      </c>
      <c r="V11" s="10"/>
      <c r="W11" s="10"/>
      <c r="X11" s="10" t="s">
        <v>427</v>
      </c>
      <c r="Y11" s="10" t="s">
        <v>427</v>
      </c>
    </row>
    <row r="12" customFormat="false" ht="15" hidden="false" customHeight="false" outlineLevel="0" collapsed="false">
      <c r="A12" s="10" t="n">
        <v>1900</v>
      </c>
      <c r="B12" s="10" t="s">
        <v>430</v>
      </c>
      <c r="C12" s="10" t="s">
        <v>75</v>
      </c>
      <c r="D12" s="10" t="s">
        <v>38</v>
      </c>
      <c r="E12" s="10" t="s">
        <v>38</v>
      </c>
      <c r="F12" s="10" t="n">
        <v>6</v>
      </c>
      <c r="G12" s="10" t="n">
        <v>1</v>
      </c>
      <c r="H12" s="10" t="n">
        <v>1</v>
      </c>
      <c r="I12" s="10" t="n">
        <v>8</v>
      </c>
      <c r="J12" s="11" t="n">
        <v>0.8125</v>
      </c>
      <c r="K12" s="10"/>
      <c r="L12" s="10"/>
      <c r="M12" s="10"/>
      <c r="N12" s="11"/>
      <c r="O12" s="10"/>
      <c r="P12" s="10"/>
      <c r="Q12" s="10"/>
      <c r="R12" s="10" t="s">
        <v>427</v>
      </c>
      <c r="S12" s="10"/>
      <c r="T12" s="10"/>
      <c r="U12" s="10" t="s">
        <v>427</v>
      </c>
      <c r="V12" s="10"/>
      <c r="W12" s="10"/>
      <c r="X12" s="10" t="s">
        <v>427</v>
      </c>
      <c r="Y12" s="10" t="s">
        <v>428</v>
      </c>
    </row>
    <row r="13" customFormat="false" ht="15" hidden="false" customHeight="false" outlineLevel="0" collapsed="false">
      <c r="A13" s="10" t="n">
        <v>1901</v>
      </c>
      <c r="B13" s="10" t="s">
        <v>430</v>
      </c>
      <c r="C13" s="10" t="s">
        <v>75</v>
      </c>
      <c r="D13" s="10" t="s">
        <v>38</v>
      </c>
      <c r="E13" s="10" t="s">
        <v>38</v>
      </c>
      <c r="F13" s="10" t="n">
        <v>6</v>
      </c>
      <c r="G13" s="10" t="n">
        <v>2</v>
      </c>
      <c r="H13" s="10" t="n">
        <v>0</v>
      </c>
      <c r="I13" s="10" t="n">
        <v>8</v>
      </c>
      <c r="J13" s="11" t="n">
        <v>0.75</v>
      </c>
      <c r="K13" s="10"/>
      <c r="L13" s="10"/>
      <c r="M13" s="10"/>
      <c r="N13" s="11"/>
      <c r="O13" s="10"/>
      <c r="P13" s="10"/>
      <c r="Q13" s="10"/>
      <c r="R13" s="10" t="s">
        <v>427</v>
      </c>
      <c r="S13" s="10"/>
      <c r="T13" s="10"/>
      <c r="U13" s="10" t="s">
        <v>427</v>
      </c>
      <c r="V13" s="10"/>
      <c r="W13" s="10"/>
      <c r="X13" s="10" t="s">
        <v>427</v>
      </c>
      <c r="Y13" s="10" t="s">
        <v>428</v>
      </c>
    </row>
    <row r="14" customFormat="false" ht="15" hidden="false" customHeight="false" outlineLevel="0" collapsed="false">
      <c r="A14" s="10" t="n">
        <v>1902</v>
      </c>
      <c r="B14" s="10" t="s">
        <v>430</v>
      </c>
      <c r="C14" s="10" t="s">
        <v>75</v>
      </c>
      <c r="D14" s="10" t="s">
        <v>38</v>
      </c>
      <c r="E14" s="10" t="s">
        <v>38</v>
      </c>
      <c r="F14" s="10" t="n">
        <v>9</v>
      </c>
      <c r="G14" s="10" t="n">
        <v>0</v>
      </c>
      <c r="H14" s="10" t="n">
        <v>0</v>
      </c>
      <c r="I14" s="10" t="n">
        <v>9</v>
      </c>
      <c r="J14" s="11" t="n">
        <v>1</v>
      </c>
      <c r="K14" s="10"/>
      <c r="L14" s="10"/>
      <c r="M14" s="10"/>
      <c r="N14" s="11"/>
      <c r="O14" s="10"/>
      <c r="P14" s="10"/>
      <c r="Q14" s="10"/>
      <c r="R14" s="10" t="s">
        <v>427</v>
      </c>
      <c r="S14" s="10"/>
      <c r="T14" s="10"/>
      <c r="U14" s="10" t="s">
        <v>427</v>
      </c>
      <c r="V14" s="10"/>
      <c r="W14" s="10"/>
      <c r="X14" s="10" t="s">
        <v>427</v>
      </c>
      <c r="Y14" s="10" t="s">
        <v>428</v>
      </c>
    </row>
    <row r="15" customFormat="false" ht="15" hidden="false" customHeight="false" outlineLevel="0" collapsed="false">
      <c r="A15" s="10" t="n">
        <v>1903</v>
      </c>
      <c r="B15" s="10" t="s">
        <v>430</v>
      </c>
      <c r="C15" s="10" t="s">
        <v>75</v>
      </c>
      <c r="D15" s="10" t="s">
        <v>38</v>
      </c>
      <c r="E15" s="10" t="s">
        <v>38</v>
      </c>
      <c r="F15" s="10" t="n">
        <v>10</v>
      </c>
      <c r="G15" s="10" t="n">
        <v>0</v>
      </c>
      <c r="H15" s="10" t="n">
        <v>0</v>
      </c>
      <c r="I15" s="10" t="n">
        <v>10</v>
      </c>
      <c r="J15" s="11" t="n">
        <v>1</v>
      </c>
      <c r="K15" s="10"/>
      <c r="L15" s="10"/>
      <c r="M15" s="10"/>
      <c r="N15" s="11"/>
      <c r="O15" s="10"/>
      <c r="P15" s="10"/>
      <c r="Q15" s="10"/>
      <c r="R15" s="10" t="s">
        <v>427</v>
      </c>
      <c r="S15" s="10"/>
      <c r="T15" s="10"/>
      <c r="U15" s="10" t="s">
        <v>427</v>
      </c>
      <c r="V15" s="10"/>
      <c r="W15" s="10"/>
      <c r="X15" s="10" t="s">
        <v>427</v>
      </c>
      <c r="Y15" s="10" t="s">
        <v>428</v>
      </c>
    </row>
    <row r="16" customFormat="false" ht="15" hidden="false" customHeight="false" outlineLevel="0" collapsed="false">
      <c r="A16" s="10" t="n">
        <v>1904</v>
      </c>
      <c r="B16" s="10" t="s">
        <v>430</v>
      </c>
      <c r="C16" s="10" t="s">
        <v>75</v>
      </c>
      <c r="D16" s="10" t="s">
        <v>38</v>
      </c>
      <c r="E16" s="10" t="s">
        <v>38</v>
      </c>
      <c r="F16" s="10" t="n">
        <v>7</v>
      </c>
      <c r="G16" s="10" t="n">
        <v>3</v>
      </c>
      <c r="H16" s="10" t="n">
        <v>0</v>
      </c>
      <c r="I16" s="10" t="n">
        <v>10</v>
      </c>
      <c r="J16" s="11" t="n">
        <v>0.7</v>
      </c>
      <c r="K16" s="10"/>
      <c r="L16" s="10"/>
      <c r="M16" s="10"/>
      <c r="N16" s="11"/>
      <c r="O16" s="10"/>
      <c r="P16" s="10"/>
      <c r="Q16" s="10"/>
      <c r="R16" s="10" t="s">
        <v>427</v>
      </c>
      <c r="S16" s="10"/>
      <c r="T16" s="10"/>
      <c r="U16" s="10" t="s">
        <v>427</v>
      </c>
      <c r="V16" s="10"/>
      <c r="W16" s="10"/>
      <c r="X16" s="10" t="s">
        <v>427</v>
      </c>
      <c r="Y16" s="10" t="s">
        <v>428</v>
      </c>
    </row>
    <row r="17" customFormat="false" ht="15" hidden="false" customHeight="false" outlineLevel="0" collapsed="false">
      <c r="A17" s="10" t="n">
        <v>1905</v>
      </c>
      <c r="B17" s="10" t="s">
        <v>430</v>
      </c>
      <c r="C17" s="10" t="s">
        <v>75</v>
      </c>
      <c r="D17" s="10" t="s">
        <v>38</v>
      </c>
      <c r="E17" s="10" t="s">
        <v>38</v>
      </c>
      <c r="F17" s="10" t="n">
        <v>8</v>
      </c>
      <c r="G17" s="10" t="n">
        <v>2</v>
      </c>
      <c r="H17" s="10" t="n">
        <v>0</v>
      </c>
      <c r="I17" s="10" t="n">
        <v>10</v>
      </c>
      <c r="J17" s="11" t="n">
        <v>0.8</v>
      </c>
      <c r="K17" s="10"/>
      <c r="L17" s="10"/>
      <c r="M17" s="10"/>
      <c r="N17" s="11"/>
      <c r="O17" s="10"/>
      <c r="P17" s="10"/>
      <c r="Q17" s="10"/>
      <c r="R17" s="10" t="s">
        <v>427</v>
      </c>
      <c r="S17" s="10"/>
      <c r="T17" s="10"/>
      <c r="U17" s="10" t="s">
        <v>427</v>
      </c>
      <c r="V17" s="10"/>
      <c r="W17" s="10"/>
      <c r="X17" s="10" t="s">
        <v>427</v>
      </c>
      <c r="Y17" s="10" t="s">
        <v>428</v>
      </c>
    </row>
    <row r="18" customFormat="false" ht="15" hidden="false" customHeight="false" outlineLevel="0" collapsed="false">
      <c r="A18" s="10" t="n">
        <v>1906</v>
      </c>
      <c r="B18" s="10" t="s">
        <v>430</v>
      </c>
      <c r="C18" s="10" t="s">
        <v>87</v>
      </c>
      <c r="D18" s="10" t="s">
        <v>38</v>
      </c>
      <c r="E18" s="10" t="s">
        <v>38</v>
      </c>
      <c r="F18" s="10" t="n">
        <v>6</v>
      </c>
      <c r="G18" s="10" t="n">
        <v>4</v>
      </c>
      <c r="H18" s="10" t="n">
        <v>0</v>
      </c>
      <c r="I18" s="10" t="n">
        <v>10</v>
      </c>
      <c r="J18" s="11" t="n">
        <v>0.6</v>
      </c>
      <c r="K18" s="10"/>
      <c r="L18" s="10"/>
      <c r="M18" s="10"/>
      <c r="N18" s="11"/>
      <c r="O18" s="10"/>
      <c r="P18" s="10"/>
      <c r="Q18" s="10"/>
      <c r="R18" s="10" t="s">
        <v>427</v>
      </c>
      <c r="S18" s="10"/>
      <c r="T18" s="10"/>
      <c r="U18" s="10" t="s">
        <v>427</v>
      </c>
      <c r="V18" s="10"/>
      <c r="W18" s="10"/>
      <c r="X18" s="10" t="s">
        <v>427</v>
      </c>
      <c r="Y18" s="10" t="s">
        <v>428</v>
      </c>
    </row>
    <row r="19" customFormat="false" ht="15" hidden="false" customHeight="false" outlineLevel="0" collapsed="false">
      <c r="A19" s="10" t="n">
        <v>1907</v>
      </c>
      <c r="B19" s="10" t="s">
        <v>430</v>
      </c>
      <c r="C19" s="10" t="s">
        <v>90</v>
      </c>
      <c r="D19" s="10" t="s">
        <v>91</v>
      </c>
      <c r="E19" s="10" t="s">
        <v>431</v>
      </c>
      <c r="F19" s="10" t="n">
        <v>8</v>
      </c>
      <c r="G19" s="10" t="n">
        <v>2</v>
      </c>
      <c r="H19" s="10" t="n">
        <v>0</v>
      </c>
      <c r="I19" s="10" t="n">
        <v>10</v>
      </c>
      <c r="J19" s="11" t="n">
        <v>0.8</v>
      </c>
      <c r="K19" s="10" t="n">
        <v>1</v>
      </c>
      <c r="L19" s="10" t="n">
        <v>0</v>
      </c>
      <c r="M19" s="10" t="n">
        <v>0</v>
      </c>
      <c r="N19" s="11" t="n">
        <v>1</v>
      </c>
      <c r="O19" s="10" t="n">
        <v>1</v>
      </c>
      <c r="P19" s="10" t="s">
        <v>428</v>
      </c>
      <c r="Q19" s="10"/>
      <c r="R19" s="10" t="s">
        <v>427</v>
      </c>
      <c r="S19" s="10"/>
      <c r="T19" s="10"/>
      <c r="U19" s="10" t="s">
        <v>427</v>
      </c>
      <c r="V19" s="10"/>
      <c r="W19" s="10"/>
      <c r="X19" s="10" t="s">
        <v>427</v>
      </c>
      <c r="Y19" s="10" t="s">
        <v>428</v>
      </c>
    </row>
    <row r="20" customFormat="false" ht="15" hidden="false" customHeight="false" outlineLevel="0" collapsed="false">
      <c r="A20" s="10" t="n">
        <v>1908</v>
      </c>
      <c r="B20" s="10" t="s">
        <v>430</v>
      </c>
      <c r="C20" s="10" t="s">
        <v>90</v>
      </c>
      <c r="D20" s="10" t="s">
        <v>91</v>
      </c>
      <c r="E20" s="10" t="s">
        <v>431</v>
      </c>
      <c r="F20" s="10" t="n">
        <v>7</v>
      </c>
      <c r="G20" s="10" t="n">
        <v>2</v>
      </c>
      <c r="H20" s="10" t="n">
        <v>1</v>
      </c>
      <c r="I20" s="10" t="n">
        <v>10</v>
      </c>
      <c r="J20" s="11" t="n">
        <v>0.75</v>
      </c>
      <c r="K20" s="10" t="n">
        <v>2</v>
      </c>
      <c r="L20" s="10" t="n">
        <v>1</v>
      </c>
      <c r="M20" s="10" t="n">
        <v>0</v>
      </c>
      <c r="N20" s="11" t="n">
        <v>0.6667</v>
      </c>
      <c r="O20" s="10" t="n">
        <v>2</v>
      </c>
      <c r="P20" s="10" t="s">
        <v>428</v>
      </c>
      <c r="Q20" s="10"/>
      <c r="R20" s="10" t="s">
        <v>427</v>
      </c>
      <c r="S20" s="10"/>
      <c r="T20" s="10"/>
      <c r="U20" s="10" t="s">
        <v>427</v>
      </c>
      <c r="V20" s="10"/>
      <c r="W20" s="10"/>
      <c r="X20" s="10" t="s">
        <v>427</v>
      </c>
      <c r="Y20" s="10" t="s">
        <v>428</v>
      </c>
    </row>
    <row r="21" customFormat="false" ht="15" hidden="false" customHeight="false" outlineLevel="0" collapsed="false">
      <c r="A21" s="10" t="n">
        <v>1909</v>
      </c>
      <c r="B21" s="10" t="s">
        <v>430</v>
      </c>
      <c r="C21" s="10" t="s">
        <v>90</v>
      </c>
      <c r="D21" s="10" t="s">
        <v>91</v>
      </c>
      <c r="E21" s="10" t="s">
        <v>431</v>
      </c>
      <c r="F21" s="10" t="n">
        <v>3</v>
      </c>
      <c r="G21" s="10" t="n">
        <v>3</v>
      </c>
      <c r="H21" s="10" t="n">
        <v>2</v>
      </c>
      <c r="I21" s="10" t="n">
        <v>8</v>
      </c>
      <c r="J21" s="11" t="n">
        <v>0.5</v>
      </c>
      <c r="K21" s="10" t="n">
        <v>0</v>
      </c>
      <c r="L21" s="10" t="n">
        <v>2</v>
      </c>
      <c r="M21" s="10" t="n">
        <v>1</v>
      </c>
      <c r="N21" s="11" t="n">
        <v>0.1667</v>
      </c>
      <c r="O21" s="10" t="n">
        <v>5</v>
      </c>
      <c r="P21" s="10" t="s">
        <v>428</v>
      </c>
      <c r="Q21" s="10"/>
      <c r="R21" s="10" t="s">
        <v>427</v>
      </c>
      <c r="S21" s="10"/>
      <c r="T21" s="10"/>
      <c r="U21" s="10" t="s">
        <v>427</v>
      </c>
      <c r="V21" s="10"/>
      <c r="W21" s="10"/>
      <c r="X21" s="10" t="s">
        <v>427</v>
      </c>
      <c r="Y21" s="10" t="s">
        <v>427</v>
      </c>
    </row>
    <row r="22" customFormat="false" ht="15" hidden="false" customHeight="false" outlineLevel="0" collapsed="false">
      <c r="A22" s="10" t="n">
        <v>1910</v>
      </c>
      <c r="B22" s="10" t="s">
        <v>432</v>
      </c>
      <c r="C22" s="10" t="s">
        <v>90</v>
      </c>
      <c r="D22" s="10" t="s">
        <v>91</v>
      </c>
      <c r="E22" s="10" t="s">
        <v>431</v>
      </c>
      <c r="F22" s="10" t="n">
        <v>7</v>
      </c>
      <c r="G22" s="10" t="n">
        <v>1</v>
      </c>
      <c r="H22" s="10" t="n">
        <v>0</v>
      </c>
      <c r="I22" s="10" t="n">
        <v>8</v>
      </c>
      <c r="J22" s="11" t="n">
        <v>0.875</v>
      </c>
      <c r="K22" s="10" t="n">
        <v>2</v>
      </c>
      <c r="L22" s="10" t="n">
        <v>0</v>
      </c>
      <c r="M22" s="10" t="n">
        <v>0</v>
      </c>
      <c r="N22" s="11" t="n">
        <v>1</v>
      </c>
      <c r="O22" s="10" t="n">
        <v>1</v>
      </c>
      <c r="P22" s="10" t="s">
        <v>427</v>
      </c>
      <c r="Q22" s="10"/>
      <c r="R22" s="10" t="s">
        <v>427</v>
      </c>
      <c r="S22" s="10"/>
      <c r="T22" s="10"/>
      <c r="U22" s="10" t="s">
        <v>427</v>
      </c>
      <c r="V22" s="10"/>
      <c r="W22" s="10"/>
      <c r="X22" s="10" t="s">
        <v>427</v>
      </c>
      <c r="Y22" s="10" t="s">
        <v>428</v>
      </c>
    </row>
    <row r="23" customFormat="false" ht="15" hidden="false" customHeight="false" outlineLevel="0" collapsed="false">
      <c r="A23" s="10" t="n">
        <v>1911</v>
      </c>
      <c r="B23" s="10" t="s">
        <v>432</v>
      </c>
      <c r="C23" s="10" t="s">
        <v>103</v>
      </c>
      <c r="D23" s="10" t="s">
        <v>91</v>
      </c>
      <c r="E23" s="10" t="s">
        <v>431</v>
      </c>
      <c r="F23" s="10" t="n">
        <v>5</v>
      </c>
      <c r="G23" s="10" t="n">
        <v>1</v>
      </c>
      <c r="H23" s="10" t="n">
        <v>2</v>
      </c>
      <c r="I23" s="10" t="n">
        <v>8</v>
      </c>
      <c r="J23" s="11" t="n">
        <v>0.75</v>
      </c>
      <c r="K23" s="10" t="n">
        <v>2</v>
      </c>
      <c r="L23" s="10" t="n">
        <v>0</v>
      </c>
      <c r="M23" s="10" t="n">
        <v>1</v>
      </c>
      <c r="N23" s="11" t="n">
        <v>0.8333</v>
      </c>
      <c r="O23" s="10" t="n">
        <v>1</v>
      </c>
      <c r="P23" s="10" t="s">
        <v>428</v>
      </c>
      <c r="Q23" s="10"/>
      <c r="R23" s="10" t="s">
        <v>427</v>
      </c>
      <c r="S23" s="10"/>
      <c r="T23" s="10"/>
      <c r="U23" s="10" t="s">
        <v>427</v>
      </c>
      <c r="V23" s="10"/>
      <c r="W23" s="10"/>
      <c r="X23" s="10" t="s">
        <v>427</v>
      </c>
      <c r="Y23" s="10" t="s">
        <v>428</v>
      </c>
    </row>
    <row r="24" customFormat="false" ht="15" hidden="false" customHeight="false" outlineLevel="0" collapsed="false">
      <c r="A24" s="10" t="n">
        <v>1912</v>
      </c>
      <c r="B24" s="10" t="s">
        <v>432</v>
      </c>
      <c r="C24" s="10" t="s">
        <v>103</v>
      </c>
      <c r="D24" s="10" t="s">
        <v>91</v>
      </c>
      <c r="E24" s="10" t="s">
        <v>431</v>
      </c>
      <c r="F24" s="10" t="n">
        <v>7</v>
      </c>
      <c r="G24" s="10" t="n">
        <v>1</v>
      </c>
      <c r="H24" s="10" t="n">
        <v>0</v>
      </c>
      <c r="I24" s="10" t="n">
        <v>8</v>
      </c>
      <c r="J24" s="11" t="n">
        <v>0.875</v>
      </c>
      <c r="K24" s="10" t="n">
        <v>2</v>
      </c>
      <c r="L24" s="10" t="n">
        <v>0</v>
      </c>
      <c r="M24" s="10" t="n">
        <v>0</v>
      </c>
      <c r="N24" s="11" t="n">
        <v>1</v>
      </c>
      <c r="O24" s="10" t="n">
        <v>1</v>
      </c>
      <c r="P24" s="10" t="s">
        <v>428</v>
      </c>
      <c r="Q24" s="10"/>
      <c r="R24" s="10" t="s">
        <v>427</v>
      </c>
      <c r="S24" s="10"/>
      <c r="T24" s="10"/>
      <c r="U24" s="10" t="s">
        <v>427</v>
      </c>
      <c r="V24" s="10"/>
      <c r="W24" s="10"/>
      <c r="X24" s="10" t="s">
        <v>427</v>
      </c>
      <c r="Y24" s="10" t="s">
        <v>428</v>
      </c>
    </row>
    <row r="25" customFormat="false" ht="15" hidden="false" customHeight="false" outlineLevel="0" collapsed="false">
      <c r="A25" s="10" t="n">
        <v>1913</v>
      </c>
      <c r="B25" s="10" t="s">
        <v>432</v>
      </c>
      <c r="C25" s="10" t="s">
        <v>103</v>
      </c>
      <c r="D25" s="10" t="s">
        <v>91</v>
      </c>
      <c r="E25" s="10" t="s">
        <v>431</v>
      </c>
      <c r="F25" s="10" t="n">
        <v>8</v>
      </c>
      <c r="G25" s="10" t="n">
        <v>0</v>
      </c>
      <c r="H25" s="10" t="n">
        <v>0</v>
      </c>
      <c r="I25" s="10" t="n">
        <v>8</v>
      </c>
      <c r="J25" s="11" t="n">
        <v>1</v>
      </c>
      <c r="K25" s="10" t="n">
        <v>3</v>
      </c>
      <c r="L25" s="10" t="n">
        <v>0</v>
      </c>
      <c r="M25" s="10" t="n">
        <v>0</v>
      </c>
      <c r="N25" s="11" t="n">
        <v>1</v>
      </c>
      <c r="O25" s="10" t="n">
        <v>1</v>
      </c>
      <c r="P25" s="10" t="s">
        <v>428</v>
      </c>
      <c r="Q25" s="10"/>
      <c r="R25" s="10" t="s">
        <v>427</v>
      </c>
      <c r="S25" s="10"/>
      <c r="T25" s="10"/>
      <c r="U25" s="10" t="s">
        <v>427</v>
      </c>
      <c r="V25" s="10"/>
      <c r="W25" s="10"/>
      <c r="X25" s="10" t="s">
        <v>427</v>
      </c>
      <c r="Y25" s="10" t="s">
        <v>428</v>
      </c>
    </row>
    <row r="26" customFormat="false" ht="15" hidden="false" customHeight="false" outlineLevel="0" collapsed="false">
      <c r="A26" s="10" t="n">
        <v>1914</v>
      </c>
      <c r="B26" s="10" t="s">
        <v>432</v>
      </c>
      <c r="C26" s="10" t="s">
        <v>103</v>
      </c>
      <c r="D26" s="10" t="s">
        <v>91</v>
      </c>
      <c r="E26" s="10" t="s">
        <v>431</v>
      </c>
      <c r="F26" s="10" t="n">
        <v>7</v>
      </c>
      <c r="G26" s="10" t="n">
        <v>0</v>
      </c>
      <c r="H26" s="10" t="n">
        <v>1</v>
      </c>
      <c r="I26" s="10" t="n">
        <v>8</v>
      </c>
      <c r="J26" s="11" t="n">
        <v>0.9375</v>
      </c>
      <c r="K26" s="10" t="n">
        <v>3</v>
      </c>
      <c r="L26" s="10" t="n">
        <v>0</v>
      </c>
      <c r="M26" s="10" t="n">
        <v>0</v>
      </c>
      <c r="N26" s="11" t="n">
        <v>1</v>
      </c>
      <c r="O26" s="10" t="n">
        <v>1</v>
      </c>
      <c r="P26" s="10" t="s">
        <v>427</v>
      </c>
      <c r="Q26" s="10"/>
      <c r="R26" s="10" t="s">
        <v>427</v>
      </c>
      <c r="S26" s="10"/>
      <c r="T26" s="10"/>
      <c r="U26" s="10" t="s">
        <v>427</v>
      </c>
      <c r="V26" s="10"/>
      <c r="W26" s="10"/>
      <c r="X26" s="10" t="s">
        <v>427</v>
      </c>
      <c r="Y26" s="10" t="s">
        <v>428</v>
      </c>
    </row>
    <row r="27" customFormat="false" ht="15" hidden="false" customHeight="false" outlineLevel="0" collapsed="false">
      <c r="A27" s="10" t="n">
        <v>1915</v>
      </c>
      <c r="B27" s="10" t="s">
        <v>432</v>
      </c>
      <c r="C27" s="10" t="s">
        <v>103</v>
      </c>
      <c r="D27" s="10" t="s">
        <v>91</v>
      </c>
      <c r="E27" s="10" t="s">
        <v>431</v>
      </c>
      <c r="F27" s="10" t="n">
        <v>8</v>
      </c>
      <c r="G27" s="10" t="n">
        <v>0</v>
      </c>
      <c r="H27" s="10" t="n">
        <v>0</v>
      </c>
      <c r="I27" s="10" t="n">
        <v>8</v>
      </c>
      <c r="J27" s="11" t="n">
        <v>1</v>
      </c>
      <c r="K27" s="10" t="n">
        <v>4</v>
      </c>
      <c r="L27" s="10" t="n">
        <v>0</v>
      </c>
      <c r="M27" s="10" t="n">
        <v>0</v>
      </c>
      <c r="N27" s="11" t="n">
        <v>1</v>
      </c>
      <c r="O27" s="10" t="n">
        <v>1</v>
      </c>
      <c r="P27" s="10" t="s">
        <v>427</v>
      </c>
      <c r="Q27" s="10"/>
      <c r="R27" s="10" t="s">
        <v>427</v>
      </c>
      <c r="S27" s="10"/>
      <c r="T27" s="10"/>
      <c r="U27" s="10" t="s">
        <v>427</v>
      </c>
      <c r="V27" s="10"/>
      <c r="W27" s="10"/>
      <c r="X27" s="10" t="s">
        <v>427</v>
      </c>
      <c r="Y27" s="10" t="s">
        <v>428</v>
      </c>
    </row>
    <row r="28" customFormat="false" ht="15" hidden="false" customHeight="false" outlineLevel="0" collapsed="false">
      <c r="A28" s="10" t="n">
        <v>1916</v>
      </c>
      <c r="B28" s="10" t="s">
        <v>432</v>
      </c>
      <c r="C28" s="10" t="s">
        <v>114</v>
      </c>
      <c r="D28" s="10" t="s">
        <v>91</v>
      </c>
      <c r="E28" s="10" t="s">
        <v>431</v>
      </c>
      <c r="F28" s="10" t="n">
        <v>6</v>
      </c>
      <c r="G28" s="10" t="n">
        <v>2</v>
      </c>
      <c r="H28" s="10" t="n">
        <v>0</v>
      </c>
      <c r="I28" s="10" t="n">
        <v>8</v>
      </c>
      <c r="J28" s="11" t="n">
        <v>0.75</v>
      </c>
      <c r="K28" s="10" t="n">
        <v>3</v>
      </c>
      <c r="L28" s="10" t="n">
        <v>1</v>
      </c>
      <c r="M28" s="10" t="n">
        <v>0</v>
      </c>
      <c r="N28" s="11" t="n">
        <v>0.75</v>
      </c>
      <c r="O28" s="10" t="n">
        <v>1</v>
      </c>
      <c r="P28" s="10" t="s">
        <v>427</v>
      </c>
      <c r="Q28" s="10"/>
      <c r="R28" s="10" t="s">
        <v>427</v>
      </c>
      <c r="S28" s="10"/>
      <c r="T28" s="10"/>
      <c r="U28" s="10" t="s">
        <v>427</v>
      </c>
      <c r="V28" s="10"/>
      <c r="W28" s="10"/>
      <c r="X28" s="10" t="s">
        <v>427</v>
      </c>
      <c r="Y28" s="10" t="s">
        <v>428</v>
      </c>
    </row>
    <row r="29" customFormat="false" ht="15" hidden="false" customHeight="false" outlineLevel="0" collapsed="false">
      <c r="A29" s="10" t="n">
        <v>1917</v>
      </c>
      <c r="B29" s="10" t="s">
        <v>432</v>
      </c>
      <c r="C29" s="10" t="s">
        <v>114</v>
      </c>
      <c r="D29" s="10" t="s">
        <v>91</v>
      </c>
      <c r="E29" s="10" t="s">
        <v>431</v>
      </c>
      <c r="F29" s="10" t="n">
        <v>5</v>
      </c>
      <c r="G29" s="10" t="n">
        <v>2</v>
      </c>
      <c r="H29" s="10" t="n">
        <v>0</v>
      </c>
      <c r="I29" s="10" t="n">
        <v>7</v>
      </c>
      <c r="J29" s="11" t="n">
        <v>0.7143</v>
      </c>
      <c r="K29" s="10" t="n">
        <v>2</v>
      </c>
      <c r="L29" s="10" t="n">
        <v>0</v>
      </c>
      <c r="M29" s="10" t="n">
        <v>0</v>
      </c>
      <c r="N29" s="11" t="n">
        <v>1</v>
      </c>
      <c r="O29" s="10" t="n">
        <v>1</v>
      </c>
      <c r="P29" s="10" t="s">
        <v>427</v>
      </c>
      <c r="Q29" s="10"/>
      <c r="R29" s="10" t="s">
        <v>427</v>
      </c>
      <c r="S29" s="10"/>
      <c r="T29" s="10"/>
      <c r="U29" s="10" t="s">
        <v>427</v>
      </c>
      <c r="V29" s="10"/>
      <c r="W29" s="10"/>
      <c r="X29" s="10" t="s">
        <v>427</v>
      </c>
      <c r="Y29" s="10" t="s">
        <v>428</v>
      </c>
    </row>
    <row r="30" customFormat="false" ht="15" hidden="false" customHeight="false" outlineLevel="0" collapsed="false">
      <c r="A30" s="10" t="n">
        <v>1918</v>
      </c>
      <c r="B30" s="10" t="s">
        <v>432</v>
      </c>
      <c r="C30" s="10" t="s">
        <v>119</v>
      </c>
      <c r="D30" s="10" t="s">
        <v>91</v>
      </c>
      <c r="E30" s="10" t="s">
        <v>431</v>
      </c>
      <c r="F30" s="10" t="n">
        <v>2</v>
      </c>
      <c r="G30" s="10" t="n">
        <v>3</v>
      </c>
      <c r="H30" s="10" t="n">
        <v>1</v>
      </c>
      <c r="I30" s="10" t="n">
        <v>6</v>
      </c>
      <c r="J30" s="11" t="n">
        <v>0.4167</v>
      </c>
      <c r="K30" s="10"/>
      <c r="L30" s="10"/>
      <c r="M30" s="10"/>
      <c r="N30" s="11"/>
      <c r="O30" s="10"/>
      <c r="P30" s="10"/>
      <c r="Q30" s="10"/>
      <c r="R30" s="10" t="s">
        <v>427</v>
      </c>
      <c r="S30" s="10"/>
      <c r="T30" s="10"/>
      <c r="U30" s="10" t="s">
        <v>427</v>
      </c>
      <c r="V30" s="10"/>
      <c r="W30" s="10"/>
      <c r="X30" s="10" t="s">
        <v>427</v>
      </c>
      <c r="Y30" s="10" t="s">
        <v>427</v>
      </c>
    </row>
    <row r="31" customFormat="false" ht="15" hidden="false" customHeight="false" outlineLevel="0" collapsed="false">
      <c r="A31" s="10" t="n">
        <v>1919</v>
      </c>
      <c r="B31" s="10" t="s">
        <v>432</v>
      </c>
      <c r="C31" s="10" t="s">
        <v>123</v>
      </c>
      <c r="D31" s="10" t="s">
        <v>38</v>
      </c>
      <c r="E31" s="10" t="s">
        <v>38</v>
      </c>
      <c r="F31" s="10" t="n">
        <v>3</v>
      </c>
      <c r="G31" s="10" t="n">
        <v>3</v>
      </c>
      <c r="H31" s="10" t="n">
        <v>2</v>
      </c>
      <c r="I31" s="10" t="n">
        <v>8</v>
      </c>
      <c r="J31" s="11" t="n">
        <v>0.5</v>
      </c>
      <c r="K31" s="10"/>
      <c r="L31" s="10"/>
      <c r="M31" s="10"/>
      <c r="N31" s="11"/>
      <c r="O31" s="10"/>
      <c r="P31" s="10"/>
      <c r="Q31" s="10"/>
      <c r="R31" s="10" t="s">
        <v>427</v>
      </c>
      <c r="S31" s="10"/>
      <c r="T31" s="10"/>
      <c r="U31" s="10" t="s">
        <v>427</v>
      </c>
      <c r="V31" s="10"/>
      <c r="W31" s="10"/>
      <c r="X31" s="10" t="s">
        <v>427</v>
      </c>
      <c r="Y31" s="10" t="s">
        <v>427</v>
      </c>
    </row>
    <row r="32" customFormat="false" ht="15" hidden="false" customHeight="false" outlineLevel="0" collapsed="false">
      <c r="A32" s="10" t="n">
        <v>1920</v>
      </c>
      <c r="B32" s="10" t="s">
        <v>433</v>
      </c>
      <c r="C32" s="10" t="s">
        <v>123</v>
      </c>
      <c r="D32" s="10" t="s">
        <v>38</v>
      </c>
      <c r="E32" s="10" t="s">
        <v>38</v>
      </c>
      <c r="F32" s="10" t="n">
        <v>5</v>
      </c>
      <c r="G32" s="10" t="n">
        <v>3</v>
      </c>
      <c r="H32" s="10" t="n">
        <v>1</v>
      </c>
      <c r="I32" s="10" t="n">
        <v>9</v>
      </c>
      <c r="J32" s="11" t="n">
        <v>0.6111</v>
      </c>
      <c r="K32" s="10"/>
      <c r="L32" s="10"/>
      <c r="M32" s="10"/>
      <c r="N32" s="11"/>
      <c r="O32" s="10"/>
      <c r="P32" s="10"/>
      <c r="Q32" s="10"/>
      <c r="R32" s="10" t="s">
        <v>427</v>
      </c>
      <c r="S32" s="10"/>
      <c r="T32" s="10"/>
      <c r="U32" s="10" t="s">
        <v>427</v>
      </c>
      <c r="V32" s="10"/>
      <c r="W32" s="10"/>
      <c r="X32" s="10" t="s">
        <v>427</v>
      </c>
      <c r="Y32" s="10" t="s">
        <v>428</v>
      </c>
    </row>
    <row r="33" customFormat="false" ht="15" hidden="false" customHeight="false" outlineLevel="0" collapsed="false">
      <c r="A33" s="10" t="n">
        <v>1921</v>
      </c>
      <c r="B33" s="10" t="s">
        <v>433</v>
      </c>
      <c r="C33" s="10" t="s">
        <v>127</v>
      </c>
      <c r="D33" s="10" t="s">
        <v>91</v>
      </c>
      <c r="E33" s="10" t="s">
        <v>431</v>
      </c>
      <c r="F33" s="10" t="n">
        <v>7</v>
      </c>
      <c r="G33" s="10" t="n">
        <v>1</v>
      </c>
      <c r="H33" s="10" t="n">
        <v>0</v>
      </c>
      <c r="I33" s="10" t="n">
        <v>8</v>
      </c>
      <c r="J33" s="11" t="n">
        <v>0.875</v>
      </c>
      <c r="K33" s="10" t="n">
        <v>3</v>
      </c>
      <c r="L33" s="10" t="n">
        <v>0</v>
      </c>
      <c r="M33" s="10" t="n">
        <v>0</v>
      </c>
      <c r="N33" s="11" t="n">
        <v>1</v>
      </c>
      <c r="O33" s="10" t="n">
        <v>1</v>
      </c>
      <c r="P33" s="10" t="s">
        <v>427</v>
      </c>
      <c r="Q33" s="10"/>
      <c r="R33" s="10" t="s">
        <v>427</v>
      </c>
      <c r="S33" s="10"/>
      <c r="T33" s="10"/>
      <c r="U33" s="10" t="s">
        <v>427</v>
      </c>
      <c r="V33" s="10"/>
      <c r="W33" s="10"/>
      <c r="X33" s="10" t="s">
        <v>427</v>
      </c>
      <c r="Y33" s="10" t="s">
        <v>428</v>
      </c>
    </row>
    <row r="34" customFormat="false" ht="15" hidden="false" customHeight="false" outlineLevel="0" collapsed="false">
      <c r="A34" s="10" t="n">
        <v>1922</v>
      </c>
      <c r="B34" s="10" t="s">
        <v>433</v>
      </c>
      <c r="C34" s="10" t="s">
        <v>127</v>
      </c>
      <c r="D34" s="10" t="s">
        <v>91</v>
      </c>
      <c r="E34" s="10" t="s">
        <v>431</v>
      </c>
      <c r="F34" s="10" t="n">
        <v>7</v>
      </c>
      <c r="G34" s="10" t="n">
        <v>1</v>
      </c>
      <c r="H34" s="10" t="n">
        <v>0</v>
      </c>
      <c r="I34" s="10" t="n">
        <v>8</v>
      </c>
      <c r="J34" s="11" t="n">
        <v>0.875</v>
      </c>
      <c r="K34" s="10" t="n">
        <v>5</v>
      </c>
      <c r="L34" s="10" t="n">
        <v>0</v>
      </c>
      <c r="M34" s="10" t="n">
        <v>0</v>
      </c>
      <c r="N34" s="11" t="n">
        <v>1</v>
      </c>
      <c r="O34" s="10" t="n">
        <v>1</v>
      </c>
      <c r="P34" s="10" t="s">
        <v>427</v>
      </c>
      <c r="Q34" s="10"/>
      <c r="R34" s="10" t="s">
        <v>427</v>
      </c>
      <c r="S34" s="10"/>
      <c r="T34" s="10"/>
      <c r="U34" s="10" t="s">
        <v>427</v>
      </c>
      <c r="V34" s="10"/>
      <c r="W34" s="10"/>
      <c r="X34" s="10" t="s">
        <v>427</v>
      </c>
      <c r="Y34" s="10" t="s">
        <v>428</v>
      </c>
    </row>
    <row r="35" customFormat="false" ht="15" hidden="false" customHeight="false" outlineLevel="0" collapsed="false">
      <c r="A35" s="10" t="n">
        <v>1923</v>
      </c>
      <c r="B35" s="10" t="s">
        <v>433</v>
      </c>
      <c r="C35" s="10" t="s">
        <v>127</v>
      </c>
      <c r="D35" s="10" t="s">
        <v>91</v>
      </c>
      <c r="E35" s="10" t="s">
        <v>431</v>
      </c>
      <c r="F35" s="10" t="n">
        <v>4</v>
      </c>
      <c r="G35" s="10" t="n">
        <v>2</v>
      </c>
      <c r="H35" s="10" t="n">
        <v>2</v>
      </c>
      <c r="I35" s="10" t="n">
        <v>8</v>
      </c>
      <c r="J35" s="11" t="n">
        <v>0.625</v>
      </c>
      <c r="K35" s="10" t="n">
        <v>3</v>
      </c>
      <c r="L35" s="10" t="n">
        <v>0</v>
      </c>
      <c r="M35" s="10" t="n">
        <v>2</v>
      </c>
      <c r="N35" s="11" t="n">
        <v>0.8</v>
      </c>
      <c r="O35" s="10" t="n">
        <v>1</v>
      </c>
      <c r="P35" s="10" t="s">
        <v>427</v>
      </c>
      <c r="Q35" s="10"/>
      <c r="R35" s="10" t="s">
        <v>427</v>
      </c>
      <c r="S35" s="10"/>
      <c r="T35" s="10"/>
      <c r="U35" s="10" t="s">
        <v>427</v>
      </c>
      <c r="V35" s="10"/>
      <c r="W35" s="10"/>
      <c r="X35" s="10" t="s">
        <v>427</v>
      </c>
      <c r="Y35" s="10" t="s">
        <v>428</v>
      </c>
    </row>
    <row r="36" customFormat="false" ht="15" hidden="false" customHeight="false" outlineLevel="0" collapsed="false">
      <c r="A36" s="10" t="n">
        <v>1924</v>
      </c>
      <c r="B36" s="10" t="s">
        <v>433</v>
      </c>
      <c r="C36" s="10" t="s">
        <v>127</v>
      </c>
      <c r="D36" s="10" t="s">
        <v>91</v>
      </c>
      <c r="E36" s="10" t="s">
        <v>431</v>
      </c>
      <c r="F36" s="10" t="n">
        <v>5</v>
      </c>
      <c r="G36" s="10" t="n">
        <v>3</v>
      </c>
      <c r="H36" s="10" t="n">
        <v>0</v>
      </c>
      <c r="I36" s="10" t="n">
        <v>8</v>
      </c>
      <c r="J36" s="11" t="n">
        <v>0.625</v>
      </c>
      <c r="K36" s="10" t="n">
        <v>3</v>
      </c>
      <c r="L36" s="10" t="n">
        <v>1</v>
      </c>
      <c r="M36" s="10" t="n">
        <v>0</v>
      </c>
      <c r="N36" s="11" t="n">
        <v>0.75</v>
      </c>
      <c r="O36" s="10" t="n">
        <v>2</v>
      </c>
      <c r="P36" s="10" t="s">
        <v>427</v>
      </c>
      <c r="Q36" s="10"/>
      <c r="R36" s="10" t="s">
        <v>427</v>
      </c>
      <c r="S36" s="10"/>
      <c r="T36" s="10"/>
      <c r="U36" s="10" t="s">
        <v>427</v>
      </c>
      <c r="V36" s="10"/>
      <c r="W36" s="10"/>
      <c r="X36" s="10" t="s">
        <v>427</v>
      </c>
      <c r="Y36" s="10" t="s">
        <v>428</v>
      </c>
    </row>
    <row r="37" customFormat="false" ht="15" hidden="false" customHeight="false" outlineLevel="0" collapsed="false">
      <c r="A37" s="10" t="n">
        <v>1925</v>
      </c>
      <c r="B37" s="10" t="s">
        <v>433</v>
      </c>
      <c r="C37" s="10" t="s">
        <v>136</v>
      </c>
      <c r="D37" s="10" t="s">
        <v>91</v>
      </c>
      <c r="E37" s="10" t="s">
        <v>431</v>
      </c>
      <c r="F37" s="10" t="n">
        <v>4</v>
      </c>
      <c r="G37" s="10" t="n">
        <v>2</v>
      </c>
      <c r="H37" s="10" t="n">
        <v>2</v>
      </c>
      <c r="I37" s="10" t="n">
        <v>8</v>
      </c>
      <c r="J37" s="11" t="n">
        <v>0.625</v>
      </c>
      <c r="K37" s="10" t="n">
        <v>2</v>
      </c>
      <c r="L37" s="10" t="n">
        <v>2</v>
      </c>
      <c r="M37" s="10" t="n">
        <v>1</v>
      </c>
      <c r="N37" s="11" t="n">
        <v>0.5</v>
      </c>
      <c r="O37" s="10" t="n">
        <v>5</v>
      </c>
      <c r="P37" s="10" t="s">
        <v>427</v>
      </c>
      <c r="Q37" s="10"/>
      <c r="R37" s="10" t="s">
        <v>427</v>
      </c>
      <c r="S37" s="10"/>
      <c r="T37" s="10"/>
      <c r="U37" s="10" t="s">
        <v>427</v>
      </c>
      <c r="V37" s="10"/>
      <c r="W37" s="10"/>
      <c r="X37" s="10" t="s">
        <v>427</v>
      </c>
      <c r="Y37" s="10" t="s">
        <v>428</v>
      </c>
    </row>
    <row r="38" customFormat="false" ht="15" hidden="false" customHeight="false" outlineLevel="0" collapsed="false">
      <c r="A38" s="10" t="n">
        <v>1926</v>
      </c>
      <c r="B38" s="10" t="s">
        <v>433</v>
      </c>
      <c r="C38" s="10" t="s">
        <v>136</v>
      </c>
      <c r="D38" s="10" t="s">
        <v>91</v>
      </c>
      <c r="E38" s="10" t="s">
        <v>431</v>
      </c>
      <c r="F38" s="10" t="n">
        <v>6</v>
      </c>
      <c r="G38" s="10" t="n">
        <v>2</v>
      </c>
      <c r="H38" s="10" t="n">
        <v>0</v>
      </c>
      <c r="I38" s="10" t="n">
        <v>8</v>
      </c>
      <c r="J38" s="11" t="n">
        <v>0.75</v>
      </c>
      <c r="K38" s="10" t="n">
        <v>5</v>
      </c>
      <c r="L38" s="10" t="n">
        <v>1</v>
      </c>
      <c r="M38" s="10" t="n">
        <v>0</v>
      </c>
      <c r="N38" s="11" t="n">
        <v>0.8333</v>
      </c>
      <c r="O38" s="10" t="n">
        <v>2</v>
      </c>
      <c r="P38" s="10" t="s">
        <v>427</v>
      </c>
      <c r="Q38" s="10"/>
      <c r="R38" s="10" t="s">
        <v>427</v>
      </c>
      <c r="S38" s="10"/>
      <c r="T38" s="10"/>
      <c r="U38" s="10" t="s">
        <v>427</v>
      </c>
      <c r="V38" s="10"/>
      <c r="W38" s="10"/>
      <c r="X38" s="10" t="s">
        <v>427</v>
      </c>
      <c r="Y38" s="10" t="s">
        <v>428</v>
      </c>
    </row>
    <row r="39" customFormat="false" ht="15" hidden="false" customHeight="false" outlineLevel="0" collapsed="false">
      <c r="A39" s="10" t="n">
        <v>1927</v>
      </c>
      <c r="B39" s="10" t="s">
        <v>433</v>
      </c>
      <c r="C39" s="10" t="s">
        <v>136</v>
      </c>
      <c r="D39" s="10" t="s">
        <v>91</v>
      </c>
      <c r="E39" s="10" t="s">
        <v>431</v>
      </c>
      <c r="F39" s="10" t="n">
        <v>6</v>
      </c>
      <c r="G39" s="10" t="n">
        <v>2</v>
      </c>
      <c r="H39" s="10" t="n">
        <v>0</v>
      </c>
      <c r="I39" s="10" t="n">
        <v>8</v>
      </c>
      <c r="J39" s="11" t="n">
        <v>0.75</v>
      </c>
      <c r="K39" s="10" t="n">
        <v>4</v>
      </c>
      <c r="L39" s="10" t="n">
        <v>1</v>
      </c>
      <c r="M39" s="10" t="n">
        <v>0</v>
      </c>
      <c r="N39" s="11" t="n">
        <v>0.8</v>
      </c>
      <c r="O39" s="10" t="n">
        <v>2</v>
      </c>
      <c r="P39" s="10" t="s">
        <v>427</v>
      </c>
      <c r="Q39" s="10"/>
      <c r="R39" s="10" t="s">
        <v>427</v>
      </c>
      <c r="S39" s="10"/>
      <c r="T39" s="10"/>
      <c r="U39" s="10" t="s">
        <v>427</v>
      </c>
      <c r="V39" s="10"/>
      <c r="W39" s="10"/>
      <c r="X39" s="10" t="s">
        <v>427</v>
      </c>
      <c r="Y39" s="10" t="s">
        <v>428</v>
      </c>
    </row>
    <row r="40" customFormat="false" ht="15" hidden="false" customHeight="false" outlineLevel="0" collapsed="false">
      <c r="A40" s="10" t="n">
        <v>1928</v>
      </c>
      <c r="B40" s="10" t="s">
        <v>433</v>
      </c>
      <c r="C40" s="10" t="s">
        <v>136</v>
      </c>
      <c r="D40" s="10" t="s">
        <v>91</v>
      </c>
      <c r="E40" s="10" t="s">
        <v>431</v>
      </c>
      <c r="F40" s="10" t="n">
        <v>7</v>
      </c>
      <c r="G40" s="10" t="n">
        <v>1</v>
      </c>
      <c r="H40" s="10" t="n">
        <v>1</v>
      </c>
      <c r="I40" s="10" t="n">
        <v>9</v>
      </c>
      <c r="J40" s="11" t="n">
        <v>0.8333</v>
      </c>
      <c r="K40" s="10" t="n">
        <v>5</v>
      </c>
      <c r="L40" s="10" t="n">
        <v>0</v>
      </c>
      <c r="M40" s="10" t="n">
        <v>0</v>
      </c>
      <c r="N40" s="11" t="n">
        <v>1</v>
      </c>
      <c r="O40" s="10" t="n">
        <v>1</v>
      </c>
      <c r="P40" s="10" t="s">
        <v>427</v>
      </c>
      <c r="Q40" s="10"/>
      <c r="R40" s="10" t="s">
        <v>427</v>
      </c>
      <c r="S40" s="10"/>
      <c r="T40" s="10"/>
      <c r="U40" s="10" t="s">
        <v>427</v>
      </c>
      <c r="V40" s="10"/>
      <c r="W40" s="10"/>
      <c r="X40" s="10" t="s">
        <v>427</v>
      </c>
      <c r="Y40" s="10" t="s">
        <v>428</v>
      </c>
    </row>
    <row r="41" customFormat="false" ht="15" hidden="false" customHeight="false" outlineLevel="0" collapsed="false">
      <c r="A41" s="10" t="n">
        <v>1929</v>
      </c>
      <c r="B41" s="10" t="s">
        <v>433</v>
      </c>
      <c r="C41" s="10" t="s">
        <v>144</v>
      </c>
      <c r="D41" s="10" t="s">
        <v>91</v>
      </c>
      <c r="E41" s="10" t="s">
        <v>431</v>
      </c>
      <c r="F41" s="10" t="n">
        <v>4</v>
      </c>
      <c r="G41" s="10" t="n">
        <v>1</v>
      </c>
      <c r="H41" s="10" t="n">
        <v>3</v>
      </c>
      <c r="I41" s="10" t="n">
        <v>8</v>
      </c>
      <c r="J41" s="11" t="n">
        <v>0.6875</v>
      </c>
      <c r="K41" s="10" t="n">
        <v>3</v>
      </c>
      <c r="L41" s="10" t="n">
        <v>0</v>
      </c>
      <c r="M41" s="10" t="n">
        <v>2</v>
      </c>
      <c r="N41" s="11" t="n">
        <v>0.8</v>
      </c>
      <c r="O41" s="10" t="n">
        <v>1</v>
      </c>
      <c r="P41" s="10" t="s">
        <v>427</v>
      </c>
      <c r="Q41" s="10"/>
      <c r="R41" s="10" t="s">
        <v>427</v>
      </c>
      <c r="S41" s="10"/>
      <c r="T41" s="10"/>
      <c r="U41" s="10" t="s">
        <v>427</v>
      </c>
      <c r="V41" s="10"/>
      <c r="W41" s="10"/>
      <c r="X41" s="10" t="s">
        <v>427</v>
      </c>
      <c r="Y41" s="10" t="s">
        <v>428</v>
      </c>
    </row>
    <row r="42" customFormat="false" ht="15" hidden="false" customHeight="false" outlineLevel="0" collapsed="false">
      <c r="A42" s="10" t="n">
        <v>1930</v>
      </c>
      <c r="B42" s="10" t="s">
        <v>434</v>
      </c>
      <c r="C42" s="10" t="s">
        <v>144</v>
      </c>
      <c r="D42" s="10" t="s">
        <v>91</v>
      </c>
      <c r="E42" s="10" t="s">
        <v>431</v>
      </c>
      <c r="F42" s="10" t="n">
        <v>4</v>
      </c>
      <c r="G42" s="10" t="n">
        <v>3</v>
      </c>
      <c r="H42" s="10" t="n">
        <v>2</v>
      </c>
      <c r="I42" s="10" t="n">
        <v>9</v>
      </c>
      <c r="J42" s="11" t="n">
        <v>0.5556</v>
      </c>
      <c r="K42" s="10" t="n">
        <v>2</v>
      </c>
      <c r="L42" s="10" t="n">
        <v>2</v>
      </c>
      <c r="M42" s="10" t="n">
        <v>1</v>
      </c>
      <c r="N42" s="11" t="n">
        <v>0.5</v>
      </c>
      <c r="O42" s="10" t="n">
        <v>4</v>
      </c>
      <c r="P42" s="10" t="s">
        <v>427</v>
      </c>
      <c r="Q42" s="10"/>
      <c r="R42" s="10" t="s">
        <v>427</v>
      </c>
      <c r="S42" s="10"/>
      <c r="T42" s="10"/>
      <c r="U42" s="10" t="s">
        <v>427</v>
      </c>
      <c r="V42" s="10"/>
      <c r="W42" s="10"/>
      <c r="X42" s="10" t="s">
        <v>427</v>
      </c>
      <c r="Y42" s="10" t="s">
        <v>428</v>
      </c>
    </row>
    <row r="43" customFormat="false" ht="15" hidden="false" customHeight="false" outlineLevel="0" collapsed="false">
      <c r="A43" s="10" t="n">
        <v>1931</v>
      </c>
      <c r="B43" s="10" t="s">
        <v>434</v>
      </c>
      <c r="C43" s="10" t="s">
        <v>144</v>
      </c>
      <c r="D43" s="10" t="s">
        <v>91</v>
      </c>
      <c r="E43" s="10" t="s">
        <v>431</v>
      </c>
      <c r="F43" s="10" t="n">
        <v>8</v>
      </c>
      <c r="G43" s="10" t="n">
        <v>2</v>
      </c>
      <c r="H43" s="10" t="n">
        <v>0</v>
      </c>
      <c r="I43" s="10" t="n">
        <v>10</v>
      </c>
      <c r="J43" s="11" t="n">
        <v>0.8</v>
      </c>
      <c r="K43" s="10" t="n">
        <v>5</v>
      </c>
      <c r="L43" s="10" t="n">
        <v>0</v>
      </c>
      <c r="M43" s="10" t="n">
        <v>0</v>
      </c>
      <c r="N43" s="11" t="n">
        <v>1</v>
      </c>
      <c r="O43" s="10" t="n">
        <v>1</v>
      </c>
      <c r="P43" s="10" t="s">
        <v>427</v>
      </c>
      <c r="Q43" s="10"/>
      <c r="R43" s="10" t="s">
        <v>427</v>
      </c>
      <c r="S43" s="10"/>
      <c r="T43" s="10"/>
      <c r="U43" s="10" t="s">
        <v>427</v>
      </c>
      <c r="V43" s="10"/>
      <c r="W43" s="10"/>
      <c r="X43" s="10" t="s">
        <v>427</v>
      </c>
      <c r="Y43" s="10" t="s">
        <v>428</v>
      </c>
    </row>
    <row r="44" customFormat="false" ht="15" hidden="false" customHeight="false" outlineLevel="0" collapsed="false">
      <c r="A44" s="10" t="n">
        <v>1932</v>
      </c>
      <c r="B44" s="10" t="s">
        <v>434</v>
      </c>
      <c r="C44" s="10" t="s">
        <v>144</v>
      </c>
      <c r="D44" s="10" t="s">
        <v>91</v>
      </c>
      <c r="E44" s="10" t="s">
        <v>431</v>
      </c>
      <c r="F44" s="10" t="n">
        <v>7</v>
      </c>
      <c r="G44" s="10" t="n">
        <v>1</v>
      </c>
      <c r="H44" s="10" t="n">
        <v>1</v>
      </c>
      <c r="I44" s="10" t="n">
        <v>9</v>
      </c>
      <c r="J44" s="11" t="n">
        <v>0.8333</v>
      </c>
      <c r="K44" s="10" t="n">
        <v>5</v>
      </c>
      <c r="L44" s="10" t="n">
        <v>0</v>
      </c>
      <c r="M44" s="10" t="n">
        <v>0</v>
      </c>
      <c r="N44" s="11" t="n">
        <v>1</v>
      </c>
      <c r="O44" s="10" t="n">
        <v>1</v>
      </c>
      <c r="P44" s="10" t="s">
        <v>427</v>
      </c>
      <c r="Q44" s="10"/>
      <c r="R44" s="10" t="s">
        <v>427</v>
      </c>
      <c r="S44" s="10"/>
      <c r="T44" s="10"/>
      <c r="U44" s="10" t="s">
        <v>427</v>
      </c>
      <c r="V44" s="10"/>
      <c r="W44" s="10"/>
      <c r="X44" s="10" t="s">
        <v>427</v>
      </c>
      <c r="Y44" s="10" t="s">
        <v>428</v>
      </c>
    </row>
    <row r="45" customFormat="false" ht="15" hidden="false" customHeight="false" outlineLevel="0" collapsed="false">
      <c r="A45" s="10" t="n">
        <v>1933</v>
      </c>
      <c r="B45" s="10" t="s">
        <v>434</v>
      </c>
      <c r="C45" s="10" t="s">
        <v>144</v>
      </c>
      <c r="D45" s="10" t="s">
        <v>91</v>
      </c>
      <c r="E45" s="10" t="s">
        <v>431</v>
      </c>
      <c r="F45" s="10" t="n">
        <v>8</v>
      </c>
      <c r="G45" s="10" t="n">
        <v>1</v>
      </c>
      <c r="H45" s="10" t="n">
        <v>0</v>
      </c>
      <c r="I45" s="10" t="n">
        <v>9</v>
      </c>
      <c r="J45" s="11" t="n">
        <v>0.8889</v>
      </c>
      <c r="K45" s="10" t="n">
        <v>5</v>
      </c>
      <c r="L45" s="10" t="n">
        <v>0</v>
      </c>
      <c r="M45" s="10" t="n">
        <v>0</v>
      </c>
      <c r="N45" s="11" t="n">
        <v>1</v>
      </c>
      <c r="O45" s="10" t="n">
        <v>1</v>
      </c>
      <c r="P45" s="10" t="s">
        <v>427</v>
      </c>
      <c r="Q45" s="10"/>
      <c r="R45" s="10" t="s">
        <v>427</v>
      </c>
      <c r="S45" s="10"/>
      <c r="T45" s="10"/>
      <c r="U45" s="10" t="s">
        <v>427</v>
      </c>
      <c r="V45" s="10"/>
      <c r="W45" s="10"/>
      <c r="X45" s="10" t="s">
        <v>427</v>
      </c>
      <c r="Y45" s="10" t="s">
        <v>428</v>
      </c>
    </row>
    <row r="46" customFormat="false" ht="15" hidden="false" customHeight="false" outlineLevel="0" collapsed="false">
      <c r="A46" s="10" t="n">
        <v>1934</v>
      </c>
      <c r="B46" s="10" t="s">
        <v>434</v>
      </c>
      <c r="C46" s="10" t="s">
        <v>144</v>
      </c>
      <c r="D46" s="10" t="s">
        <v>91</v>
      </c>
      <c r="E46" s="10" t="s">
        <v>431</v>
      </c>
      <c r="F46" s="10" t="n">
        <v>6</v>
      </c>
      <c r="G46" s="10" t="n">
        <v>3</v>
      </c>
      <c r="H46" s="10" t="n">
        <v>0</v>
      </c>
      <c r="I46" s="10" t="n">
        <v>9</v>
      </c>
      <c r="J46" s="11" t="n">
        <v>0.6667</v>
      </c>
      <c r="K46" s="10" t="n">
        <v>4</v>
      </c>
      <c r="L46" s="10" t="n">
        <v>1</v>
      </c>
      <c r="M46" s="10" t="n">
        <v>0</v>
      </c>
      <c r="N46" s="11" t="n">
        <v>0.8</v>
      </c>
      <c r="O46" s="10" t="n">
        <v>2</v>
      </c>
      <c r="P46" s="10" t="s">
        <v>427</v>
      </c>
      <c r="Q46" s="10"/>
      <c r="R46" s="10" t="s">
        <v>427</v>
      </c>
      <c r="S46" s="10"/>
      <c r="T46" s="10"/>
      <c r="U46" s="10" t="s">
        <v>427</v>
      </c>
      <c r="V46" s="10"/>
      <c r="W46" s="10"/>
      <c r="X46" s="10" t="s">
        <v>427</v>
      </c>
      <c r="Y46" s="10" t="s">
        <v>428</v>
      </c>
    </row>
    <row r="47" customFormat="false" ht="15" hidden="false" customHeight="false" outlineLevel="0" collapsed="false">
      <c r="A47" s="10" t="n">
        <v>1935</v>
      </c>
      <c r="B47" s="10" t="s">
        <v>434</v>
      </c>
      <c r="C47" s="10" t="s">
        <v>144</v>
      </c>
      <c r="D47" s="10" t="s">
        <v>91</v>
      </c>
      <c r="E47" s="10" t="s">
        <v>431</v>
      </c>
      <c r="F47" s="10" t="n">
        <v>6</v>
      </c>
      <c r="G47" s="10" t="n">
        <v>2</v>
      </c>
      <c r="H47" s="10" t="n">
        <v>1</v>
      </c>
      <c r="I47" s="10" t="n">
        <v>9</v>
      </c>
      <c r="J47" s="11" t="n">
        <v>0.7222</v>
      </c>
      <c r="K47" s="10" t="n">
        <v>4</v>
      </c>
      <c r="L47" s="10" t="n">
        <v>0</v>
      </c>
      <c r="M47" s="10" t="n">
        <v>1</v>
      </c>
      <c r="N47" s="11" t="n">
        <v>0.9</v>
      </c>
      <c r="O47" s="10" t="n">
        <v>1</v>
      </c>
      <c r="P47" s="10" t="s">
        <v>427</v>
      </c>
      <c r="Q47" s="10"/>
      <c r="R47" s="10" t="s">
        <v>427</v>
      </c>
      <c r="S47" s="10"/>
      <c r="T47" s="10"/>
      <c r="U47" s="10" t="s">
        <v>427</v>
      </c>
      <c r="V47" s="10"/>
      <c r="W47" s="10"/>
      <c r="X47" s="10" t="s">
        <v>427</v>
      </c>
      <c r="Y47" s="10" t="s">
        <v>428</v>
      </c>
    </row>
    <row r="48" customFormat="false" ht="15" hidden="false" customHeight="false" outlineLevel="0" collapsed="false">
      <c r="A48" s="10" t="n">
        <v>1936</v>
      </c>
      <c r="B48" s="10" t="s">
        <v>434</v>
      </c>
      <c r="C48" s="10" t="s">
        <v>144</v>
      </c>
      <c r="D48" s="10" t="s">
        <v>91</v>
      </c>
      <c r="E48" s="10" t="s">
        <v>431</v>
      </c>
      <c r="F48" s="10" t="n">
        <v>7</v>
      </c>
      <c r="G48" s="10" t="n">
        <v>2</v>
      </c>
      <c r="H48" s="10" t="n">
        <v>0</v>
      </c>
      <c r="I48" s="10" t="n">
        <v>9</v>
      </c>
      <c r="J48" s="11" t="n">
        <v>0.7778</v>
      </c>
      <c r="K48" s="10" t="n">
        <v>5</v>
      </c>
      <c r="L48" s="10" t="n">
        <v>0</v>
      </c>
      <c r="M48" s="10" t="n">
        <v>0</v>
      </c>
      <c r="N48" s="11" t="n">
        <v>1</v>
      </c>
      <c r="O48" s="10" t="n">
        <v>1</v>
      </c>
      <c r="P48" s="10" t="s">
        <v>427</v>
      </c>
      <c r="Q48" s="10"/>
      <c r="R48" s="10" t="s">
        <v>427</v>
      </c>
      <c r="S48" s="10"/>
      <c r="T48" s="10"/>
      <c r="U48" s="10" t="s">
        <v>427</v>
      </c>
      <c r="V48" s="10" t="n">
        <v>9</v>
      </c>
      <c r="W48" s="10"/>
      <c r="X48" s="10" t="s">
        <v>428</v>
      </c>
      <c r="Y48" s="10" t="s">
        <v>428</v>
      </c>
    </row>
    <row r="49" customFormat="false" ht="15" hidden="false" customHeight="false" outlineLevel="0" collapsed="false">
      <c r="A49" s="10" t="n">
        <v>1937</v>
      </c>
      <c r="B49" s="10" t="s">
        <v>434</v>
      </c>
      <c r="C49" s="10" t="s">
        <v>161</v>
      </c>
      <c r="D49" s="10" t="s">
        <v>91</v>
      </c>
      <c r="E49" s="10" t="s">
        <v>431</v>
      </c>
      <c r="F49" s="10" t="n">
        <v>6</v>
      </c>
      <c r="G49" s="10" t="n">
        <v>1</v>
      </c>
      <c r="H49" s="10" t="n">
        <v>2</v>
      </c>
      <c r="I49" s="10" t="n">
        <v>9</v>
      </c>
      <c r="J49" s="11" t="n">
        <v>0.7778</v>
      </c>
      <c r="K49" s="10" t="n">
        <v>3</v>
      </c>
      <c r="L49" s="10" t="n">
        <v>0</v>
      </c>
      <c r="M49" s="10" t="n">
        <v>2</v>
      </c>
      <c r="N49" s="11" t="n">
        <v>0.8</v>
      </c>
      <c r="O49" s="10" t="n">
        <v>1</v>
      </c>
      <c r="P49" s="10" t="s">
        <v>427</v>
      </c>
      <c r="Q49" s="10"/>
      <c r="R49" s="10" t="s">
        <v>427</v>
      </c>
      <c r="S49" s="10"/>
      <c r="T49" s="10"/>
      <c r="U49" s="10" t="s">
        <v>427</v>
      </c>
      <c r="V49" s="10" t="n">
        <v>11</v>
      </c>
      <c r="W49" s="10"/>
      <c r="X49" s="10" t="s">
        <v>428</v>
      </c>
      <c r="Y49" s="10" t="s">
        <v>428</v>
      </c>
    </row>
    <row r="50" customFormat="false" ht="15" hidden="false" customHeight="false" outlineLevel="0" collapsed="false">
      <c r="A50" s="10" t="n">
        <v>1938</v>
      </c>
      <c r="B50" s="10" t="s">
        <v>434</v>
      </c>
      <c r="C50" s="10" t="s">
        <v>161</v>
      </c>
      <c r="D50" s="10" t="s">
        <v>91</v>
      </c>
      <c r="E50" s="10" t="s">
        <v>431</v>
      </c>
      <c r="F50" s="10" t="n">
        <v>3</v>
      </c>
      <c r="G50" s="10" t="n">
        <v>5</v>
      </c>
      <c r="H50" s="10" t="n">
        <v>1</v>
      </c>
      <c r="I50" s="10" t="n">
        <v>9</v>
      </c>
      <c r="J50" s="11" t="n">
        <v>0.3889</v>
      </c>
      <c r="K50" s="10" t="n">
        <v>2</v>
      </c>
      <c r="L50" s="10" t="n">
        <v>3</v>
      </c>
      <c r="M50" s="10" t="n">
        <v>0</v>
      </c>
      <c r="N50" s="11" t="n">
        <v>0.4</v>
      </c>
      <c r="O50" s="10" t="n">
        <v>3</v>
      </c>
      <c r="P50" s="10" t="s">
        <v>428</v>
      </c>
      <c r="Q50" s="10"/>
      <c r="R50" s="10" t="s">
        <v>427</v>
      </c>
      <c r="S50" s="10"/>
      <c r="T50" s="10"/>
      <c r="U50" s="10" t="s">
        <v>427</v>
      </c>
      <c r="V50" s="10"/>
      <c r="W50" s="10"/>
      <c r="X50" s="10" t="s">
        <v>427</v>
      </c>
      <c r="Y50" s="10" t="s">
        <v>427</v>
      </c>
    </row>
    <row r="51" customFormat="false" ht="15" hidden="false" customHeight="false" outlineLevel="0" collapsed="false">
      <c r="A51" s="10" t="n">
        <v>1939</v>
      </c>
      <c r="B51" s="10" t="s">
        <v>434</v>
      </c>
      <c r="C51" s="10" t="s">
        <v>161</v>
      </c>
      <c r="D51" s="10" t="s">
        <v>91</v>
      </c>
      <c r="E51" s="10" t="s">
        <v>431</v>
      </c>
      <c r="F51" s="10" t="n">
        <v>7</v>
      </c>
      <c r="G51" s="10" t="n">
        <v>1</v>
      </c>
      <c r="H51" s="10" t="n">
        <v>1</v>
      </c>
      <c r="I51" s="10" t="n">
        <v>9</v>
      </c>
      <c r="J51" s="11" t="n">
        <v>0.8333</v>
      </c>
      <c r="K51" s="10" t="n">
        <v>4</v>
      </c>
      <c r="L51" s="10" t="n">
        <v>1</v>
      </c>
      <c r="M51" s="10" t="n">
        <v>0</v>
      </c>
      <c r="N51" s="11" t="n">
        <v>0.8</v>
      </c>
      <c r="O51" s="10" t="n">
        <v>2</v>
      </c>
      <c r="P51" s="10" t="s">
        <v>427</v>
      </c>
      <c r="Q51" s="10"/>
      <c r="R51" s="10" t="s">
        <v>427</v>
      </c>
      <c r="S51" s="10"/>
      <c r="T51" s="10"/>
      <c r="U51" s="10" t="s">
        <v>427</v>
      </c>
      <c r="V51" s="10" t="n">
        <v>18</v>
      </c>
      <c r="W51" s="10"/>
      <c r="X51" s="10" t="s">
        <v>428</v>
      </c>
      <c r="Y51" s="10" t="s">
        <v>428</v>
      </c>
    </row>
    <row r="52" customFormat="false" ht="15" hidden="false" customHeight="false" outlineLevel="0" collapsed="false">
      <c r="A52" s="10" t="n">
        <v>1940</v>
      </c>
      <c r="B52" s="10" t="s">
        <v>435</v>
      </c>
      <c r="C52" s="10" t="s">
        <v>161</v>
      </c>
      <c r="D52" s="10" t="s">
        <v>91</v>
      </c>
      <c r="E52" s="10" t="s">
        <v>431</v>
      </c>
      <c r="F52" s="10" t="n">
        <v>8</v>
      </c>
      <c r="G52" s="10" t="n">
        <v>2</v>
      </c>
      <c r="H52" s="10" t="n">
        <v>0</v>
      </c>
      <c r="I52" s="10" t="n">
        <v>10</v>
      </c>
      <c r="J52" s="11" t="n">
        <v>0.8</v>
      </c>
      <c r="K52" s="10" t="n">
        <v>5</v>
      </c>
      <c r="L52" s="10" t="n">
        <v>0</v>
      </c>
      <c r="M52" s="10" t="n">
        <v>0</v>
      </c>
      <c r="N52" s="11" t="n">
        <v>1</v>
      </c>
      <c r="O52" s="10" t="n">
        <v>1</v>
      </c>
      <c r="P52" s="10" t="s">
        <v>427</v>
      </c>
      <c r="Q52" s="10"/>
      <c r="R52" s="10" t="s">
        <v>428</v>
      </c>
      <c r="S52" s="10" t="s">
        <v>436</v>
      </c>
      <c r="T52" s="10" t="s">
        <v>437</v>
      </c>
      <c r="U52" s="10" t="s">
        <v>428</v>
      </c>
      <c r="V52" s="10" t="n">
        <v>7</v>
      </c>
      <c r="W52" s="10"/>
      <c r="X52" s="10" t="s">
        <v>428</v>
      </c>
      <c r="Y52" s="10" t="s">
        <v>428</v>
      </c>
    </row>
    <row r="53" customFormat="false" ht="15" hidden="false" customHeight="false" outlineLevel="0" collapsed="false">
      <c r="A53" s="10" t="n">
        <v>1941</v>
      </c>
      <c r="B53" s="10" t="s">
        <v>435</v>
      </c>
      <c r="C53" s="10" t="s">
        <v>161</v>
      </c>
      <c r="D53" s="10" t="s">
        <v>91</v>
      </c>
      <c r="E53" s="10" t="s">
        <v>431</v>
      </c>
      <c r="F53" s="10" t="n">
        <v>4</v>
      </c>
      <c r="G53" s="10" t="n">
        <v>5</v>
      </c>
      <c r="H53" s="10" t="n">
        <v>0</v>
      </c>
      <c r="I53" s="10" t="n">
        <v>9</v>
      </c>
      <c r="J53" s="11" t="n">
        <v>0.4444</v>
      </c>
      <c r="K53" s="10" t="n">
        <v>3</v>
      </c>
      <c r="L53" s="10" t="n">
        <v>2</v>
      </c>
      <c r="M53" s="10" t="n">
        <v>0</v>
      </c>
      <c r="N53" s="11" t="n">
        <v>0.6</v>
      </c>
      <c r="O53" s="10" t="n">
        <v>2</v>
      </c>
      <c r="P53" s="10" t="s">
        <v>428</v>
      </c>
      <c r="Q53" s="10"/>
      <c r="R53" s="10" t="s">
        <v>427</v>
      </c>
      <c r="S53" s="10"/>
      <c r="T53" s="10"/>
      <c r="U53" s="10" t="s">
        <v>427</v>
      </c>
      <c r="V53" s="10"/>
      <c r="W53" s="10"/>
      <c r="X53" s="10" t="s">
        <v>427</v>
      </c>
      <c r="Y53" s="10" t="s">
        <v>427</v>
      </c>
    </row>
    <row r="54" customFormat="false" ht="15" hidden="false" customHeight="false" outlineLevel="0" collapsed="false">
      <c r="A54" s="10" t="n">
        <v>1942</v>
      </c>
      <c r="B54" s="10" t="s">
        <v>435</v>
      </c>
      <c r="C54" s="10" t="s">
        <v>177</v>
      </c>
      <c r="D54" s="10" t="s">
        <v>91</v>
      </c>
      <c r="E54" s="10" t="s">
        <v>431</v>
      </c>
      <c r="F54" s="10" t="n">
        <v>3</v>
      </c>
      <c r="G54" s="10" t="n">
        <v>7</v>
      </c>
      <c r="H54" s="10" t="n">
        <v>0</v>
      </c>
      <c r="I54" s="10" t="n">
        <v>10</v>
      </c>
      <c r="J54" s="11" t="n">
        <v>0.3</v>
      </c>
      <c r="K54" s="10" t="n">
        <v>3</v>
      </c>
      <c r="L54" s="10" t="n">
        <v>2</v>
      </c>
      <c r="M54" s="10" t="n">
        <v>0</v>
      </c>
      <c r="N54" s="11" t="n">
        <v>0.6</v>
      </c>
      <c r="O54" s="10" t="n">
        <v>3</v>
      </c>
      <c r="P54" s="10" t="s">
        <v>427</v>
      </c>
      <c r="Q54" s="10"/>
      <c r="R54" s="10" t="s">
        <v>427</v>
      </c>
      <c r="S54" s="10"/>
      <c r="T54" s="10"/>
      <c r="U54" s="10" t="s">
        <v>427</v>
      </c>
      <c r="V54" s="10"/>
      <c r="W54" s="10"/>
      <c r="X54" s="10" t="s">
        <v>427</v>
      </c>
      <c r="Y54" s="10" t="s">
        <v>427</v>
      </c>
    </row>
    <row r="55" customFormat="false" ht="15" hidden="false" customHeight="false" outlineLevel="0" collapsed="false">
      <c r="A55" s="10" t="n">
        <v>1943</v>
      </c>
      <c r="B55" s="10" t="s">
        <v>435</v>
      </c>
      <c r="C55" s="10" t="s">
        <v>180</v>
      </c>
      <c r="D55" s="10" t="s">
        <v>91</v>
      </c>
      <c r="E55" s="10" t="s">
        <v>431</v>
      </c>
      <c r="F55" s="10" t="n">
        <v>2</v>
      </c>
      <c r="G55" s="10" t="n">
        <v>6</v>
      </c>
      <c r="H55" s="10" t="n">
        <v>0</v>
      </c>
      <c r="I55" s="10" t="n">
        <v>8</v>
      </c>
      <c r="J55" s="11" t="n">
        <v>0.25</v>
      </c>
      <c r="K55" s="10" t="n">
        <v>2</v>
      </c>
      <c r="L55" s="10" t="n">
        <v>3</v>
      </c>
      <c r="M55" s="10" t="n">
        <v>0</v>
      </c>
      <c r="N55" s="11" t="n">
        <v>0.4</v>
      </c>
      <c r="O55" s="10" t="n">
        <v>4</v>
      </c>
      <c r="P55" s="10" t="s">
        <v>428</v>
      </c>
      <c r="Q55" s="10"/>
      <c r="R55" s="10" t="s">
        <v>427</v>
      </c>
      <c r="S55" s="10"/>
      <c r="T55" s="10"/>
      <c r="U55" s="10" t="s">
        <v>427</v>
      </c>
      <c r="V55" s="10"/>
      <c r="W55" s="10"/>
      <c r="X55" s="10" t="s">
        <v>427</v>
      </c>
      <c r="Y55" s="10" t="s">
        <v>427</v>
      </c>
    </row>
    <row r="56" customFormat="false" ht="15" hidden="false" customHeight="false" outlineLevel="0" collapsed="false">
      <c r="A56" s="10" t="n">
        <v>1944</v>
      </c>
      <c r="B56" s="10" t="s">
        <v>435</v>
      </c>
      <c r="C56" s="10" t="s">
        <v>180</v>
      </c>
      <c r="D56" s="10" t="s">
        <v>91</v>
      </c>
      <c r="E56" s="10" t="s">
        <v>431</v>
      </c>
      <c r="F56" s="10" t="n">
        <v>2</v>
      </c>
      <c r="G56" s="10" t="n">
        <v>6</v>
      </c>
      <c r="H56" s="10" t="n">
        <v>0</v>
      </c>
      <c r="I56" s="10" t="n">
        <v>8</v>
      </c>
      <c r="J56" s="11" t="n">
        <v>0.25</v>
      </c>
      <c r="K56" s="10" t="n">
        <v>2</v>
      </c>
      <c r="L56" s="10" t="n">
        <v>3</v>
      </c>
      <c r="M56" s="10" t="n">
        <v>0</v>
      </c>
      <c r="N56" s="11" t="n">
        <v>0.4</v>
      </c>
      <c r="O56" s="10" t="n">
        <v>4</v>
      </c>
      <c r="P56" s="10" t="s">
        <v>427</v>
      </c>
      <c r="Q56" s="10"/>
      <c r="R56" s="10" t="s">
        <v>427</v>
      </c>
      <c r="S56" s="10"/>
      <c r="T56" s="10"/>
      <c r="U56" s="10" t="s">
        <v>427</v>
      </c>
      <c r="V56" s="10"/>
      <c r="W56" s="10"/>
      <c r="X56" s="10" t="s">
        <v>427</v>
      </c>
      <c r="Y56" s="10" t="s">
        <v>427</v>
      </c>
    </row>
    <row r="57" customFormat="false" ht="15" hidden="false" customHeight="false" outlineLevel="0" collapsed="false">
      <c r="A57" s="10" t="n">
        <v>1945</v>
      </c>
      <c r="B57" s="10" t="s">
        <v>435</v>
      </c>
      <c r="C57" s="10" t="s">
        <v>185</v>
      </c>
      <c r="D57" s="10" t="s">
        <v>91</v>
      </c>
      <c r="E57" s="10" t="s">
        <v>431</v>
      </c>
      <c r="F57" s="10" t="n">
        <v>4</v>
      </c>
      <c r="G57" s="10" t="n">
        <v>5</v>
      </c>
      <c r="H57" s="10" t="n">
        <v>0</v>
      </c>
      <c r="I57" s="10" t="n">
        <v>9</v>
      </c>
      <c r="J57" s="11" t="n">
        <v>0.4444</v>
      </c>
      <c r="K57" s="10" t="n">
        <v>2</v>
      </c>
      <c r="L57" s="10" t="n">
        <v>3</v>
      </c>
      <c r="M57" s="10" t="n">
        <v>0</v>
      </c>
      <c r="N57" s="11" t="n">
        <v>0.4</v>
      </c>
      <c r="O57" s="10" t="n">
        <v>4</v>
      </c>
      <c r="P57" s="10" t="s">
        <v>427</v>
      </c>
      <c r="Q57" s="10"/>
      <c r="R57" s="10" t="s">
        <v>427</v>
      </c>
      <c r="S57" s="10"/>
      <c r="T57" s="10"/>
      <c r="U57" s="10" t="s">
        <v>427</v>
      </c>
      <c r="V57" s="10"/>
      <c r="W57" s="10"/>
      <c r="X57" s="10" t="s">
        <v>427</v>
      </c>
      <c r="Y57" s="10" t="s">
        <v>427</v>
      </c>
    </row>
    <row r="58" customFormat="false" ht="15" hidden="false" customHeight="false" outlineLevel="0" collapsed="false">
      <c r="A58" s="10" t="n">
        <v>1946</v>
      </c>
      <c r="B58" s="10" t="s">
        <v>435</v>
      </c>
      <c r="C58" s="10" t="s">
        <v>187</v>
      </c>
      <c r="D58" s="10" t="s">
        <v>91</v>
      </c>
      <c r="E58" s="10" t="s">
        <v>431</v>
      </c>
      <c r="F58" s="10" t="n">
        <v>3</v>
      </c>
      <c r="G58" s="10" t="n">
        <v>6</v>
      </c>
      <c r="H58" s="10" t="n">
        <v>0</v>
      </c>
      <c r="I58" s="10" t="n">
        <v>9</v>
      </c>
      <c r="J58" s="11" t="n">
        <v>0.3333</v>
      </c>
      <c r="K58" s="10" t="n">
        <v>3</v>
      </c>
      <c r="L58" s="10" t="n">
        <v>2</v>
      </c>
      <c r="M58" s="10" t="n">
        <v>0</v>
      </c>
      <c r="N58" s="11" t="n">
        <v>0.6</v>
      </c>
      <c r="O58" s="10" t="n">
        <v>3</v>
      </c>
      <c r="P58" s="10" t="s">
        <v>428</v>
      </c>
      <c r="Q58" s="10"/>
      <c r="R58" s="10" t="s">
        <v>427</v>
      </c>
      <c r="S58" s="10"/>
      <c r="T58" s="10"/>
      <c r="U58" s="10" t="s">
        <v>427</v>
      </c>
      <c r="V58" s="10"/>
      <c r="W58" s="10"/>
      <c r="X58" s="10" t="s">
        <v>427</v>
      </c>
      <c r="Y58" s="10" t="s">
        <v>427</v>
      </c>
    </row>
    <row r="59" customFormat="false" ht="15" hidden="false" customHeight="false" outlineLevel="0" collapsed="false">
      <c r="A59" s="10" t="n">
        <v>1947</v>
      </c>
      <c r="B59" s="10" t="s">
        <v>435</v>
      </c>
      <c r="C59" s="10" t="s">
        <v>187</v>
      </c>
      <c r="D59" s="10" t="s">
        <v>91</v>
      </c>
      <c r="E59" s="10" t="s">
        <v>431</v>
      </c>
      <c r="F59" s="10" t="n">
        <v>2</v>
      </c>
      <c r="G59" s="10" t="n">
        <v>7</v>
      </c>
      <c r="H59" s="10" t="n">
        <v>0</v>
      </c>
      <c r="I59" s="10" t="n">
        <v>9</v>
      </c>
      <c r="J59" s="11" t="n">
        <v>0.2222</v>
      </c>
      <c r="K59" s="10" t="n">
        <v>2</v>
      </c>
      <c r="L59" s="10" t="n">
        <v>3</v>
      </c>
      <c r="M59" s="10" t="n">
        <v>0</v>
      </c>
      <c r="N59" s="11" t="n">
        <v>0.4</v>
      </c>
      <c r="O59" s="10" t="n">
        <v>4</v>
      </c>
      <c r="P59" s="10" t="s">
        <v>427</v>
      </c>
      <c r="Q59" s="10"/>
      <c r="R59" s="10" t="s">
        <v>427</v>
      </c>
      <c r="S59" s="10"/>
      <c r="T59" s="10"/>
      <c r="U59" s="10" t="s">
        <v>427</v>
      </c>
      <c r="V59" s="10"/>
      <c r="W59" s="10"/>
      <c r="X59" s="10" t="s">
        <v>427</v>
      </c>
      <c r="Y59" s="10" t="s">
        <v>427</v>
      </c>
    </row>
    <row r="60" customFormat="false" ht="15" hidden="false" customHeight="false" outlineLevel="0" collapsed="false">
      <c r="A60" s="10" t="n">
        <v>1948</v>
      </c>
      <c r="B60" s="10" t="s">
        <v>435</v>
      </c>
      <c r="C60" s="10" t="s">
        <v>185</v>
      </c>
      <c r="D60" s="10" t="s">
        <v>91</v>
      </c>
      <c r="E60" s="10" t="s">
        <v>431</v>
      </c>
      <c r="F60" s="10" t="n">
        <v>2</v>
      </c>
      <c r="G60" s="10" t="n">
        <v>8</v>
      </c>
      <c r="H60" s="10" t="n">
        <v>0</v>
      </c>
      <c r="I60" s="10" t="n">
        <v>10</v>
      </c>
      <c r="J60" s="11" t="n">
        <v>0.2</v>
      </c>
      <c r="K60" s="10" t="n">
        <v>2</v>
      </c>
      <c r="L60" s="10" t="n">
        <v>4</v>
      </c>
      <c r="M60" s="10" t="n">
        <v>0</v>
      </c>
      <c r="N60" s="11" t="n">
        <v>0.3333</v>
      </c>
      <c r="O60" s="10" t="n">
        <v>5</v>
      </c>
      <c r="P60" s="10" t="s">
        <v>428</v>
      </c>
      <c r="Q60" s="10"/>
      <c r="R60" s="10" t="s">
        <v>427</v>
      </c>
      <c r="S60" s="10"/>
      <c r="T60" s="10"/>
      <c r="U60" s="10" t="s">
        <v>427</v>
      </c>
      <c r="V60" s="10"/>
      <c r="W60" s="10"/>
      <c r="X60" s="10" t="s">
        <v>427</v>
      </c>
      <c r="Y60" s="10" t="s">
        <v>427</v>
      </c>
    </row>
    <row r="61" customFormat="false" ht="15" hidden="false" customHeight="false" outlineLevel="0" collapsed="false">
      <c r="A61" s="10" t="n">
        <v>1949</v>
      </c>
      <c r="B61" s="10" t="s">
        <v>435</v>
      </c>
      <c r="C61" s="10" t="s">
        <v>195</v>
      </c>
      <c r="D61" s="10" t="s">
        <v>91</v>
      </c>
      <c r="E61" s="10" t="s">
        <v>431</v>
      </c>
      <c r="F61" s="10" t="n">
        <v>4</v>
      </c>
      <c r="G61" s="10" t="n">
        <v>5</v>
      </c>
      <c r="H61" s="10" t="n">
        <v>0</v>
      </c>
      <c r="I61" s="10" t="n">
        <v>9</v>
      </c>
      <c r="J61" s="11" t="n">
        <v>0.4444</v>
      </c>
      <c r="K61" s="10" t="n">
        <v>3</v>
      </c>
      <c r="L61" s="10" t="n">
        <v>3</v>
      </c>
      <c r="M61" s="10" t="n">
        <v>0</v>
      </c>
      <c r="N61" s="11" t="n">
        <v>0.5</v>
      </c>
      <c r="O61" s="10" t="n">
        <v>3</v>
      </c>
      <c r="P61" s="10" t="s">
        <v>428</v>
      </c>
      <c r="Q61" s="10"/>
      <c r="R61" s="10" t="s">
        <v>427</v>
      </c>
      <c r="S61" s="10"/>
      <c r="T61" s="10"/>
      <c r="U61" s="10" t="s">
        <v>427</v>
      </c>
      <c r="V61" s="10"/>
      <c r="W61" s="10"/>
      <c r="X61" s="10" t="s">
        <v>427</v>
      </c>
      <c r="Y61" s="10" t="s">
        <v>427</v>
      </c>
    </row>
    <row r="62" customFormat="false" ht="15" hidden="false" customHeight="false" outlineLevel="0" collapsed="false">
      <c r="A62" s="10" t="n">
        <v>1950</v>
      </c>
      <c r="B62" s="10" t="s">
        <v>438</v>
      </c>
      <c r="C62" s="10" t="s">
        <v>195</v>
      </c>
      <c r="D62" s="10" t="s">
        <v>91</v>
      </c>
      <c r="E62" s="10" t="s">
        <v>431</v>
      </c>
      <c r="F62" s="10" t="n">
        <v>6</v>
      </c>
      <c r="G62" s="10" t="n">
        <v>2</v>
      </c>
      <c r="H62" s="10" t="n">
        <v>1</v>
      </c>
      <c r="I62" s="10" t="n">
        <v>9</v>
      </c>
      <c r="J62" s="11" t="n">
        <v>0.7222</v>
      </c>
      <c r="K62" s="10" t="n">
        <v>4</v>
      </c>
      <c r="L62" s="10" t="n">
        <v>2</v>
      </c>
      <c r="M62" s="10" t="n">
        <v>0</v>
      </c>
      <c r="N62" s="11" t="n">
        <v>0.6667</v>
      </c>
      <c r="O62" s="10" t="n">
        <v>2</v>
      </c>
      <c r="P62" s="10" t="s">
        <v>427</v>
      </c>
      <c r="Q62" s="10"/>
      <c r="R62" s="10" t="s">
        <v>427</v>
      </c>
      <c r="S62" s="10"/>
      <c r="T62" s="10"/>
      <c r="U62" s="10" t="s">
        <v>427</v>
      </c>
      <c r="V62" s="10" t="n">
        <v>17</v>
      </c>
      <c r="W62" s="10" t="n">
        <v>20</v>
      </c>
      <c r="X62" s="10" t="s">
        <v>428</v>
      </c>
      <c r="Y62" s="10" t="s">
        <v>428</v>
      </c>
    </row>
    <row r="63" customFormat="false" ht="15" hidden="false" customHeight="false" outlineLevel="0" collapsed="false">
      <c r="A63" s="10" t="n">
        <v>1951</v>
      </c>
      <c r="B63" s="10" t="s">
        <v>438</v>
      </c>
      <c r="C63" s="10" t="s">
        <v>195</v>
      </c>
      <c r="D63" s="10" t="s">
        <v>91</v>
      </c>
      <c r="E63" s="10" t="s">
        <v>431</v>
      </c>
      <c r="F63" s="10" t="n">
        <v>2</v>
      </c>
      <c r="G63" s="10" t="n">
        <v>8</v>
      </c>
      <c r="H63" s="10" t="n">
        <v>0</v>
      </c>
      <c r="I63" s="10" t="n">
        <v>10</v>
      </c>
      <c r="J63" s="11" t="n">
        <v>0.2</v>
      </c>
      <c r="K63" s="10" t="n">
        <v>2</v>
      </c>
      <c r="L63" s="10" t="n">
        <v>4</v>
      </c>
      <c r="M63" s="10" t="n">
        <v>0</v>
      </c>
      <c r="N63" s="11" t="n">
        <v>0.3333</v>
      </c>
      <c r="O63" s="10" t="n">
        <v>4</v>
      </c>
      <c r="P63" s="10" t="s">
        <v>428</v>
      </c>
      <c r="Q63" s="10"/>
      <c r="R63" s="10" t="s">
        <v>427</v>
      </c>
      <c r="S63" s="10"/>
      <c r="T63" s="10"/>
      <c r="U63" s="10" t="s">
        <v>427</v>
      </c>
      <c r="V63" s="10"/>
      <c r="W63" s="10"/>
      <c r="X63" s="10" t="s">
        <v>427</v>
      </c>
      <c r="Y63" s="10" t="s">
        <v>427</v>
      </c>
    </row>
    <row r="64" customFormat="false" ht="15" hidden="false" customHeight="false" outlineLevel="0" collapsed="false">
      <c r="A64" s="10" t="n">
        <v>1952</v>
      </c>
      <c r="B64" s="10" t="s">
        <v>438</v>
      </c>
      <c r="C64" s="10" t="s">
        <v>195</v>
      </c>
      <c r="D64" s="10" t="s">
        <v>91</v>
      </c>
      <c r="E64" s="10" t="s">
        <v>431</v>
      </c>
      <c r="F64" s="10" t="n">
        <v>5</v>
      </c>
      <c r="G64" s="10" t="n">
        <v>4</v>
      </c>
      <c r="H64" s="10" t="n">
        <v>1</v>
      </c>
      <c r="I64" s="10" t="n">
        <v>10</v>
      </c>
      <c r="J64" s="11" t="n">
        <v>0.55</v>
      </c>
      <c r="K64" s="10" t="n">
        <v>3</v>
      </c>
      <c r="L64" s="10" t="n">
        <v>2</v>
      </c>
      <c r="M64" s="10" t="n">
        <v>1</v>
      </c>
      <c r="N64" s="11" t="n">
        <v>0.5833</v>
      </c>
      <c r="O64" s="10" t="n">
        <v>3</v>
      </c>
      <c r="P64" s="10" t="s">
        <v>427</v>
      </c>
      <c r="Q64" s="10"/>
      <c r="R64" s="10" t="s">
        <v>427</v>
      </c>
      <c r="S64" s="10"/>
      <c r="T64" s="10"/>
      <c r="U64" s="10" t="s">
        <v>427</v>
      </c>
      <c r="V64" s="10"/>
      <c r="W64" s="10"/>
      <c r="X64" s="10" t="s">
        <v>427</v>
      </c>
      <c r="Y64" s="10" t="s">
        <v>428</v>
      </c>
    </row>
    <row r="65" customFormat="false" ht="15" hidden="false" customHeight="false" outlineLevel="0" collapsed="false">
      <c r="A65" s="10" t="n">
        <v>1953</v>
      </c>
      <c r="B65" s="10" t="s">
        <v>438</v>
      </c>
      <c r="C65" s="10" t="s">
        <v>195</v>
      </c>
      <c r="D65" s="10" t="s">
        <v>91</v>
      </c>
      <c r="E65" s="10" t="s">
        <v>431</v>
      </c>
      <c r="F65" s="10" t="n">
        <v>3</v>
      </c>
      <c r="G65" s="10" t="n">
        <v>6</v>
      </c>
      <c r="H65" s="10" t="n">
        <v>1</v>
      </c>
      <c r="I65" s="10" t="n">
        <v>10</v>
      </c>
      <c r="J65" s="11" t="n">
        <v>0.35</v>
      </c>
      <c r="K65" s="10" t="n">
        <v>2</v>
      </c>
      <c r="L65" s="10" t="n">
        <v>4</v>
      </c>
      <c r="M65" s="10" t="n">
        <v>0</v>
      </c>
      <c r="N65" s="11" t="n">
        <v>0.3333</v>
      </c>
      <c r="O65" s="10" t="n">
        <v>4</v>
      </c>
      <c r="P65" s="10" t="s">
        <v>428</v>
      </c>
      <c r="Q65" s="10"/>
      <c r="R65" s="10" t="s">
        <v>427</v>
      </c>
      <c r="S65" s="10"/>
      <c r="T65" s="10"/>
      <c r="U65" s="10" t="s">
        <v>427</v>
      </c>
      <c r="V65" s="10"/>
      <c r="W65" s="10"/>
      <c r="X65" s="10" t="s">
        <v>427</v>
      </c>
      <c r="Y65" s="10" t="s">
        <v>427</v>
      </c>
    </row>
    <row r="66" customFormat="false" ht="15" hidden="false" customHeight="false" outlineLevel="0" collapsed="false">
      <c r="A66" s="10" t="n">
        <v>1954</v>
      </c>
      <c r="B66" s="10" t="s">
        <v>438</v>
      </c>
      <c r="C66" s="10" t="s">
        <v>195</v>
      </c>
      <c r="D66" s="10" t="s">
        <v>91</v>
      </c>
      <c r="E66" s="10" t="s">
        <v>431</v>
      </c>
      <c r="F66" s="10" t="n">
        <v>6</v>
      </c>
      <c r="G66" s="10" t="n">
        <v>5</v>
      </c>
      <c r="H66" s="10" t="n">
        <v>0</v>
      </c>
      <c r="I66" s="10" t="n">
        <v>11</v>
      </c>
      <c r="J66" s="11" t="n">
        <v>0.5455</v>
      </c>
      <c r="K66" s="10" t="n">
        <v>4</v>
      </c>
      <c r="L66" s="10" t="n">
        <v>2</v>
      </c>
      <c r="M66" s="10" t="n">
        <v>0</v>
      </c>
      <c r="N66" s="11" t="n">
        <v>0.6667</v>
      </c>
      <c r="O66" s="10" t="n">
        <v>2</v>
      </c>
      <c r="P66" s="10" t="s">
        <v>427</v>
      </c>
      <c r="Q66" s="10"/>
      <c r="R66" s="10" t="s">
        <v>428</v>
      </c>
      <c r="S66" s="10" t="s">
        <v>439</v>
      </c>
      <c r="T66" s="10" t="s">
        <v>437</v>
      </c>
      <c r="U66" s="10" t="s">
        <v>428</v>
      </c>
      <c r="V66" s="10"/>
      <c r="W66" s="10"/>
      <c r="X66" s="10" t="s">
        <v>427</v>
      </c>
      <c r="Y66" s="10" t="s">
        <v>428</v>
      </c>
    </row>
    <row r="67" customFormat="false" ht="15" hidden="false" customHeight="false" outlineLevel="0" collapsed="false">
      <c r="A67" s="10" t="n">
        <v>1955</v>
      </c>
      <c r="B67" s="10" t="s">
        <v>438</v>
      </c>
      <c r="C67" s="10" t="s">
        <v>195</v>
      </c>
      <c r="D67" s="10" t="s">
        <v>91</v>
      </c>
      <c r="E67" s="10" t="s">
        <v>431</v>
      </c>
      <c r="F67" s="10" t="n">
        <v>5</v>
      </c>
      <c r="G67" s="10" t="n">
        <v>5</v>
      </c>
      <c r="H67" s="10" t="n">
        <v>0</v>
      </c>
      <c r="I67" s="10" t="n">
        <v>10</v>
      </c>
      <c r="J67" s="11" t="n">
        <v>0.5</v>
      </c>
      <c r="K67" s="10" t="n">
        <v>5</v>
      </c>
      <c r="L67" s="10" t="n">
        <v>1</v>
      </c>
      <c r="M67" s="10" t="n">
        <v>0</v>
      </c>
      <c r="N67" s="11" t="n">
        <v>0.8333</v>
      </c>
      <c r="O67" s="10" t="n">
        <v>2</v>
      </c>
      <c r="P67" s="10" t="s">
        <v>427</v>
      </c>
      <c r="Q67" s="10"/>
      <c r="R67" s="10" t="s">
        <v>427</v>
      </c>
      <c r="S67" s="10"/>
      <c r="T67" s="10"/>
      <c r="U67" s="10" t="s">
        <v>427</v>
      </c>
      <c r="V67" s="10"/>
      <c r="W67" s="10"/>
      <c r="X67" s="10" t="s">
        <v>427</v>
      </c>
      <c r="Y67" s="10" t="s">
        <v>427</v>
      </c>
    </row>
    <row r="68" customFormat="false" ht="15" hidden="false" customHeight="false" outlineLevel="0" collapsed="false">
      <c r="A68" s="10" t="n">
        <v>1956</v>
      </c>
      <c r="B68" s="10" t="s">
        <v>438</v>
      </c>
      <c r="C68" s="10" t="s">
        <v>212</v>
      </c>
      <c r="D68" s="10" t="s">
        <v>91</v>
      </c>
      <c r="E68" s="10" t="s">
        <v>431</v>
      </c>
      <c r="F68" s="10" t="n">
        <v>4</v>
      </c>
      <c r="G68" s="10" t="n">
        <v>6</v>
      </c>
      <c r="H68" s="10" t="n">
        <v>0</v>
      </c>
      <c r="I68" s="10" t="n">
        <v>10</v>
      </c>
      <c r="J68" s="11" t="n">
        <v>0.4</v>
      </c>
      <c r="K68" s="10" t="n">
        <v>3</v>
      </c>
      <c r="L68" s="10" t="n">
        <v>3</v>
      </c>
      <c r="M68" s="10" t="n">
        <v>0</v>
      </c>
      <c r="N68" s="11" t="n">
        <v>0.5</v>
      </c>
      <c r="O68" s="10" t="n">
        <v>4</v>
      </c>
      <c r="P68" s="10" t="s">
        <v>427</v>
      </c>
      <c r="Q68" s="10"/>
      <c r="R68" s="10" t="s">
        <v>427</v>
      </c>
      <c r="S68" s="10"/>
      <c r="T68" s="10"/>
      <c r="U68" s="10" t="s">
        <v>427</v>
      </c>
      <c r="V68" s="10"/>
      <c r="W68" s="10"/>
      <c r="X68" s="10" t="s">
        <v>427</v>
      </c>
      <c r="Y68" s="10" t="s">
        <v>427</v>
      </c>
    </row>
    <row r="69" customFormat="false" ht="15" hidden="false" customHeight="false" outlineLevel="0" collapsed="false">
      <c r="A69" s="10" t="n">
        <v>1957</v>
      </c>
      <c r="B69" s="10" t="s">
        <v>438</v>
      </c>
      <c r="C69" s="10" t="s">
        <v>215</v>
      </c>
      <c r="D69" s="10" t="s">
        <v>91</v>
      </c>
      <c r="E69" s="10" t="s">
        <v>431</v>
      </c>
      <c r="F69" s="10" t="n">
        <v>1</v>
      </c>
      <c r="G69" s="10" t="n">
        <v>9</v>
      </c>
      <c r="H69" s="10" t="n">
        <v>0</v>
      </c>
      <c r="I69" s="10" t="n">
        <v>10</v>
      </c>
      <c r="J69" s="11" t="n">
        <v>0.1</v>
      </c>
      <c r="K69" s="10" t="n">
        <v>1</v>
      </c>
      <c r="L69" s="10" t="n">
        <v>5</v>
      </c>
      <c r="M69" s="10" t="n">
        <v>0</v>
      </c>
      <c r="N69" s="11" t="n">
        <v>0.1667</v>
      </c>
      <c r="O69" s="10" t="n">
        <v>7</v>
      </c>
      <c r="P69" s="10" t="s">
        <v>427</v>
      </c>
      <c r="Q69" s="10"/>
      <c r="R69" s="10" t="s">
        <v>427</v>
      </c>
      <c r="S69" s="10"/>
      <c r="T69" s="10"/>
      <c r="U69" s="10" t="s">
        <v>427</v>
      </c>
      <c r="V69" s="10"/>
      <c r="W69" s="10"/>
      <c r="X69" s="10" t="s">
        <v>427</v>
      </c>
      <c r="Y69" s="10" t="s">
        <v>427</v>
      </c>
    </row>
    <row r="70" customFormat="false" ht="15" hidden="false" customHeight="false" outlineLevel="0" collapsed="false">
      <c r="A70" s="10" t="n">
        <v>1958</v>
      </c>
      <c r="B70" s="10" t="s">
        <v>438</v>
      </c>
      <c r="C70" s="10" t="s">
        <v>215</v>
      </c>
      <c r="D70" s="10" t="s">
        <v>91</v>
      </c>
      <c r="E70" s="10" t="s">
        <v>431</v>
      </c>
      <c r="F70" s="10" t="n">
        <v>3</v>
      </c>
      <c r="G70" s="10" t="n">
        <v>7</v>
      </c>
      <c r="H70" s="10" t="n">
        <v>0</v>
      </c>
      <c r="I70" s="10" t="n">
        <v>10</v>
      </c>
      <c r="J70" s="11" t="n">
        <v>0.3</v>
      </c>
      <c r="K70" s="10" t="n">
        <v>1</v>
      </c>
      <c r="L70" s="10" t="n">
        <v>5</v>
      </c>
      <c r="M70" s="10" t="n">
        <v>0</v>
      </c>
      <c r="N70" s="11" t="n">
        <v>0.1667</v>
      </c>
      <c r="O70" s="10" t="n">
        <v>6</v>
      </c>
      <c r="P70" s="10" t="s">
        <v>427</v>
      </c>
      <c r="Q70" s="10"/>
      <c r="R70" s="10" t="s">
        <v>427</v>
      </c>
      <c r="S70" s="10"/>
      <c r="T70" s="10"/>
      <c r="U70" s="10" t="s">
        <v>427</v>
      </c>
      <c r="V70" s="10"/>
      <c r="W70" s="10"/>
      <c r="X70" s="10" t="s">
        <v>427</v>
      </c>
      <c r="Y70" s="10" t="s">
        <v>427</v>
      </c>
    </row>
    <row r="71" customFormat="false" ht="15" hidden="false" customHeight="false" outlineLevel="0" collapsed="false">
      <c r="A71" s="10" t="n">
        <v>1959</v>
      </c>
      <c r="B71" s="10" t="s">
        <v>438</v>
      </c>
      <c r="C71" s="10" t="s">
        <v>215</v>
      </c>
      <c r="D71" s="10" t="s">
        <v>91</v>
      </c>
      <c r="E71" s="10" t="s">
        <v>431</v>
      </c>
      <c r="F71" s="10" t="n">
        <v>4</v>
      </c>
      <c r="G71" s="10" t="n">
        <v>6</v>
      </c>
      <c r="H71" s="10" t="n">
        <v>0</v>
      </c>
      <c r="I71" s="10" t="n">
        <v>10</v>
      </c>
      <c r="J71" s="11" t="n">
        <v>0.4</v>
      </c>
      <c r="K71" s="10" t="n">
        <v>2</v>
      </c>
      <c r="L71" s="10" t="n">
        <v>4</v>
      </c>
      <c r="M71" s="10" t="n">
        <v>0</v>
      </c>
      <c r="N71" s="11" t="n">
        <v>0.3333</v>
      </c>
      <c r="O71" s="10" t="n">
        <v>6</v>
      </c>
      <c r="P71" s="10" t="s">
        <v>427</v>
      </c>
      <c r="Q71" s="10"/>
      <c r="R71" s="10" t="s">
        <v>427</v>
      </c>
      <c r="S71" s="10"/>
      <c r="T71" s="10"/>
      <c r="U71" s="10" t="s">
        <v>427</v>
      </c>
      <c r="V71" s="10"/>
      <c r="W71" s="10"/>
      <c r="X71" s="10" t="s">
        <v>427</v>
      </c>
      <c r="Y71" s="10" t="s">
        <v>427</v>
      </c>
    </row>
    <row r="72" customFormat="false" ht="15" hidden="false" customHeight="false" outlineLevel="0" collapsed="false">
      <c r="A72" s="10" t="n">
        <v>1960</v>
      </c>
      <c r="B72" s="10" t="s">
        <v>440</v>
      </c>
      <c r="C72" s="10" t="s">
        <v>215</v>
      </c>
      <c r="D72" s="10" t="s">
        <v>91</v>
      </c>
      <c r="E72" s="10" t="s">
        <v>431</v>
      </c>
      <c r="F72" s="10" t="n">
        <v>4</v>
      </c>
      <c r="G72" s="10" t="n">
        <v>6</v>
      </c>
      <c r="H72" s="10" t="n">
        <v>0</v>
      </c>
      <c r="I72" s="10" t="n">
        <v>10</v>
      </c>
      <c r="J72" s="11" t="n">
        <v>0.4</v>
      </c>
      <c r="K72" s="10" t="n">
        <v>2</v>
      </c>
      <c r="L72" s="10" t="n">
        <v>5</v>
      </c>
      <c r="M72" s="10" t="n">
        <v>0</v>
      </c>
      <c r="N72" s="11" t="n">
        <v>0.2857</v>
      </c>
      <c r="O72" s="10" t="n">
        <v>6</v>
      </c>
      <c r="P72" s="10" t="s">
        <v>428</v>
      </c>
      <c r="Q72" s="10"/>
      <c r="R72" s="10" t="s">
        <v>427</v>
      </c>
      <c r="S72" s="10"/>
      <c r="T72" s="10"/>
      <c r="U72" s="10" t="s">
        <v>427</v>
      </c>
      <c r="V72" s="10"/>
      <c r="W72" s="10"/>
      <c r="X72" s="10" t="s">
        <v>427</v>
      </c>
      <c r="Y72" s="10" t="s">
        <v>427</v>
      </c>
    </row>
    <row r="73" customFormat="false" ht="15" hidden="false" customHeight="false" outlineLevel="0" collapsed="false">
      <c r="A73" s="10" t="n">
        <v>1961</v>
      </c>
      <c r="B73" s="10" t="s">
        <v>440</v>
      </c>
      <c r="C73" s="10" t="s">
        <v>215</v>
      </c>
      <c r="D73" s="10" t="s">
        <v>91</v>
      </c>
      <c r="E73" s="10" t="s">
        <v>431</v>
      </c>
      <c r="F73" s="10" t="n">
        <v>3</v>
      </c>
      <c r="G73" s="10" t="n">
        <v>6</v>
      </c>
      <c r="H73" s="10" t="n">
        <v>1</v>
      </c>
      <c r="I73" s="10" t="n">
        <v>10</v>
      </c>
      <c r="J73" s="11" t="n">
        <v>0.35</v>
      </c>
      <c r="K73" s="10" t="n">
        <v>2</v>
      </c>
      <c r="L73" s="10" t="n">
        <v>5</v>
      </c>
      <c r="M73" s="10" t="n">
        <v>0</v>
      </c>
      <c r="N73" s="11" t="n">
        <v>0.2857</v>
      </c>
      <c r="O73" s="10" t="n">
        <v>6</v>
      </c>
      <c r="P73" s="10" t="s">
        <v>428</v>
      </c>
      <c r="Q73" s="10"/>
      <c r="R73" s="10" t="s">
        <v>427</v>
      </c>
      <c r="S73" s="10"/>
      <c r="T73" s="10"/>
      <c r="U73" s="10" t="s">
        <v>427</v>
      </c>
      <c r="V73" s="10"/>
      <c r="W73" s="10"/>
      <c r="X73" s="10" t="s">
        <v>427</v>
      </c>
      <c r="Y73" s="10" t="s">
        <v>427</v>
      </c>
    </row>
    <row r="74" customFormat="false" ht="15" hidden="false" customHeight="false" outlineLevel="0" collapsed="false">
      <c r="A74" s="10" t="n">
        <v>1962</v>
      </c>
      <c r="B74" s="10" t="s">
        <v>440</v>
      </c>
      <c r="C74" s="10" t="s">
        <v>227</v>
      </c>
      <c r="D74" s="10" t="s">
        <v>261</v>
      </c>
      <c r="E74" s="10" t="s">
        <v>441</v>
      </c>
      <c r="F74" s="10" t="n">
        <v>9</v>
      </c>
      <c r="G74" s="10" t="n">
        <v>2</v>
      </c>
      <c r="H74" s="10" t="n">
        <v>0</v>
      </c>
      <c r="I74" s="10" t="n">
        <v>11</v>
      </c>
      <c r="J74" s="11" t="n">
        <v>0.8182</v>
      </c>
      <c r="K74" s="10" t="n">
        <v>5</v>
      </c>
      <c r="L74" s="10" t="n">
        <v>2</v>
      </c>
      <c r="M74" s="10" t="n">
        <v>0</v>
      </c>
      <c r="N74" s="11" t="n">
        <v>0.7143</v>
      </c>
      <c r="O74" s="10" t="n">
        <v>3</v>
      </c>
      <c r="P74" s="10" t="s">
        <v>427</v>
      </c>
      <c r="Q74" s="10"/>
      <c r="R74" s="10" t="s">
        <v>428</v>
      </c>
      <c r="S74" s="10" t="s">
        <v>442</v>
      </c>
      <c r="T74" s="10" t="s">
        <v>443</v>
      </c>
      <c r="U74" s="10" t="s">
        <v>427</v>
      </c>
      <c r="V74" s="10"/>
      <c r="W74" s="10"/>
      <c r="X74" s="10" t="s">
        <v>427</v>
      </c>
      <c r="Y74" s="10" t="s">
        <v>428</v>
      </c>
    </row>
    <row r="75" customFormat="false" ht="15" hidden="false" customHeight="false" outlineLevel="0" collapsed="false">
      <c r="A75" s="10" t="n">
        <v>1963</v>
      </c>
      <c r="B75" s="10" t="s">
        <v>440</v>
      </c>
      <c r="C75" s="10" t="s">
        <v>227</v>
      </c>
      <c r="D75" s="10" t="s">
        <v>261</v>
      </c>
      <c r="E75" s="10" t="s">
        <v>441</v>
      </c>
      <c r="F75" s="10" t="n">
        <v>10</v>
      </c>
      <c r="G75" s="10" t="n">
        <v>1</v>
      </c>
      <c r="H75" s="10" t="n">
        <v>0</v>
      </c>
      <c r="I75" s="10" t="n">
        <v>11</v>
      </c>
      <c r="J75" s="11" t="n">
        <v>0.9091</v>
      </c>
      <c r="K75" s="10" t="n">
        <v>7</v>
      </c>
      <c r="L75" s="10" t="n">
        <v>0</v>
      </c>
      <c r="M75" s="10" t="n">
        <v>0</v>
      </c>
      <c r="N75" s="11" t="n">
        <v>1</v>
      </c>
      <c r="O75" s="10" t="n">
        <v>1</v>
      </c>
      <c r="P75" s="10" t="s">
        <v>427</v>
      </c>
      <c r="Q75" s="10"/>
      <c r="R75" s="10" t="s">
        <v>428</v>
      </c>
      <c r="S75" s="10" t="s">
        <v>439</v>
      </c>
      <c r="T75" s="10" t="s">
        <v>443</v>
      </c>
      <c r="U75" s="10" t="s">
        <v>428</v>
      </c>
      <c r="V75" s="10" t="n">
        <v>6</v>
      </c>
      <c r="W75" s="10" t="n">
        <v>5</v>
      </c>
      <c r="X75" s="10" t="s">
        <v>428</v>
      </c>
      <c r="Y75" s="10" t="s">
        <v>428</v>
      </c>
    </row>
    <row r="76" customFormat="false" ht="15" hidden="false" customHeight="false" outlineLevel="0" collapsed="false">
      <c r="A76" s="10" t="n">
        <v>1964</v>
      </c>
      <c r="B76" s="10" t="s">
        <v>440</v>
      </c>
      <c r="C76" s="10" t="s">
        <v>227</v>
      </c>
      <c r="D76" s="10" t="s">
        <v>261</v>
      </c>
      <c r="E76" s="10" t="s">
        <v>441</v>
      </c>
      <c r="F76" s="10" t="n">
        <v>9</v>
      </c>
      <c r="G76" s="10" t="n">
        <v>2</v>
      </c>
      <c r="H76" s="10" t="n">
        <v>0</v>
      </c>
      <c r="I76" s="10" t="n">
        <v>11</v>
      </c>
      <c r="J76" s="11" t="n">
        <v>0.8182</v>
      </c>
      <c r="K76" s="10" t="n">
        <v>6</v>
      </c>
      <c r="L76" s="10" t="n">
        <v>1</v>
      </c>
      <c r="M76" s="10" t="n">
        <v>0</v>
      </c>
      <c r="N76" s="11" t="n">
        <v>0.8571</v>
      </c>
      <c r="O76" s="10" t="n">
        <v>1</v>
      </c>
      <c r="P76" s="10" t="s">
        <v>427</v>
      </c>
      <c r="Q76" s="10"/>
      <c r="R76" s="10" t="s">
        <v>428</v>
      </c>
      <c r="S76" s="10" t="s">
        <v>444</v>
      </c>
      <c r="T76" s="10" t="s">
        <v>437</v>
      </c>
      <c r="U76" s="10" t="s">
        <v>428</v>
      </c>
      <c r="V76" s="10" t="n">
        <v>6</v>
      </c>
      <c r="W76" s="10" t="n">
        <v>6</v>
      </c>
      <c r="X76" s="10" t="s">
        <v>428</v>
      </c>
      <c r="Y76" s="10" t="s">
        <v>428</v>
      </c>
    </row>
    <row r="77" customFormat="false" ht="15" hidden="false" customHeight="false" outlineLevel="0" collapsed="false">
      <c r="A77" s="10" t="n">
        <v>1965</v>
      </c>
      <c r="B77" s="10" t="s">
        <v>440</v>
      </c>
      <c r="C77" s="10" t="s">
        <v>227</v>
      </c>
      <c r="D77" s="10" t="s">
        <v>261</v>
      </c>
      <c r="E77" s="10" t="s">
        <v>441</v>
      </c>
      <c r="F77" s="10" t="n">
        <v>10</v>
      </c>
      <c r="G77" s="10" t="n">
        <v>1</v>
      </c>
      <c r="H77" s="10" t="n">
        <v>0</v>
      </c>
      <c r="I77" s="10" t="n">
        <v>11</v>
      </c>
      <c r="J77" s="11" t="n">
        <v>0.9091</v>
      </c>
      <c r="K77" s="10" t="n">
        <v>7</v>
      </c>
      <c r="L77" s="10" t="n">
        <v>0</v>
      </c>
      <c r="M77" s="10" t="n">
        <v>0</v>
      </c>
      <c r="N77" s="11" t="n">
        <v>1</v>
      </c>
      <c r="O77" s="10" t="n">
        <v>1</v>
      </c>
      <c r="P77" s="10" t="s">
        <v>427</v>
      </c>
      <c r="Q77" s="10"/>
      <c r="R77" s="10" t="s">
        <v>428</v>
      </c>
      <c r="S77" s="10" t="s">
        <v>439</v>
      </c>
      <c r="T77" s="10" t="s">
        <v>437</v>
      </c>
      <c r="U77" s="10" t="s">
        <v>428</v>
      </c>
      <c r="V77" s="10" t="n">
        <v>5</v>
      </c>
      <c r="W77" s="10" t="n">
        <v>3</v>
      </c>
      <c r="X77" s="10" t="s">
        <v>428</v>
      </c>
      <c r="Y77" s="10" t="s">
        <v>428</v>
      </c>
    </row>
    <row r="78" customFormat="false" ht="15" hidden="false" customHeight="false" outlineLevel="0" collapsed="false">
      <c r="A78" s="10" t="n">
        <v>1966</v>
      </c>
      <c r="B78" s="10" t="s">
        <v>440</v>
      </c>
      <c r="C78" s="10" t="s">
        <v>227</v>
      </c>
      <c r="D78" s="10" t="s">
        <v>261</v>
      </c>
      <c r="E78" s="10" t="s">
        <v>441</v>
      </c>
      <c r="F78" s="10" t="n">
        <v>9</v>
      </c>
      <c r="G78" s="10" t="n">
        <v>2</v>
      </c>
      <c r="H78" s="10" t="n">
        <v>0</v>
      </c>
      <c r="I78" s="10" t="n">
        <v>11</v>
      </c>
      <c r="J78" s="11" t="n">
        <v>0.8182</v>
      </c>
      <c r="K78" s="10" t="n">
        <v>6</v>
      </c>
      <c r="L78" s="10" t="n">
        <v>1</v>
      </c>
      <c r="M78" s="10" t="n">
        <v>0</v>
      </c>
      <c r="N78" s="11" t="n">
        <v>0.8571</v>
      </c>
      <c r="O78" s="10" t="n">
        <v>1</v>
      </c>
      <c r="P78" s="10" t="s">
        <v>427</v>
      </c>
      <c r="Q78" s="10"/>
      <c r="R78" s="10" t="s">
        <v>428</v>
      </c>
      <c r="S78" s="10" t="s">
        <v>445</v>
      </c>
      <c r="T78" s="10" t="s">
        <v>437</v>
      </c>
      <c r="U78" s="10" t="s">
        <v>428</v>
      </c>
      <c r="V78" s="10" t="n">
        <v>6</v>
      </c>
      <c r="W78" s="10" t="n">
        <v>7</v>
      </c>
      <c r="X78" s="10" t="s">
        <v>428</v>
      </c>
      <c r="Y78" s="10" t="s">
        <v>428</v>
      </c>
    </row>
    <row r="79" customFormat="false" ht="15" hidden="false" customHeight="false" outlineLevel="0" collapsed="false">
      <c r="A79" s="10" t="n">
        <v>1967</v>
      </c>
      <c r="B79" s="10" t="s">
        <v>440</v>
      </c>
      <c r="C79" s="10" t="s">
        <v>227</v>
      </c>
      <c r="D79" s="10" t="s">
        <v>261</v>
      </c>
      <c r="E79" s="10" t="s">
        <v>441</v>
      </c>
      <c r="F79" s="10" t="n">
        <v>6</v>
      </c>
      <c r="G79" s="10" t="n">
        <v>4</v>
      </c>
      <c r="H79" s="10" t="n">
        <v>0</v>
      </c>
      <c r="I79" s="10" t="n">
        <v>10</v>
      </c>
      <c r="J79" s="11" t="n">
        <v>0.6</v>
      </c>
      <c r="K79" s="10" t="n">
        <v>3</v>
      </c>
      <c r="L79" s="10" t="n">
        <v>4</v>
      </c>
      <c r="M79" s="10" t="n">
        <v>0</v>
      </c>
      <c r="N79" s="11" t="n">
        <v>0.4286</v>
      </c>
      <c r="O79" s="10" t="n">
        <v>5</v>
      </c>
      <c r="P79" s="10" t="s">
        <v>427</v>
      </c>
      <c r="Q79" s="10"/>
      <c r="R79" s="10" t="s">
        <v>427</v>
      </c>
      <c r="S79" s="10"/>
      <c r="T79" s="10"/>
      <c r="U79" s="10" t="s">
        <v>427</v>
      </c>
      <c r="V79" s="10"/>
      <c r="W79" s="10"/>
      <c r="X79" s="10" t="s">
        <v>427</v>
      </c>
      <c r="Y79" s="10" t="s">
        <v>428</v>
      </c>
    </row>
    <row r="80" customFormat="false" ht="15" hidden="false" customHeight="false" outlineLevel="0" collapsed="false">
      <c r="A80" s="10" t="n">
        <v>1968</v>
      </c>
      <c r="B80" s="10" t="s">
        <v>440</v>
      </c>
      <c r="C80" s="10" t="s">
        <v>227</v>
      </c>
      <c r="D80" s="10" t="s">
        <v>261</v>
      </c>
      <c r="E80" s="10" t="s">
        <v>441</v>
      </c>
      <c r="F80" s="10" t="n">
        <v>6</v>
      </c>
      <c r="G80" s="10" t="n">
        <v>4</v>
      </c>
      <c r="H80" s="10" t="n">
        <v>0</v>
      </c>
      <c r="I80" s="10" t="n">
        <v>10</v>
      </c>
      <c r="J80" s="11" t="n">
        <v>0.6</v>
      </c>
      <c r="K80" s="10" t="n">
        <v>3</v>
      </c>
      <c r="L80" s="10" t="n">
        <v>4</v>
      </c>
      <c r="M80" s="10" t="n">
        <v>0</v>
      </c>
      <c r="N80" s="11" t="n">
        <v>0.4286</v>
      </c>
      <c r="O80" s="10" t="n">
        <v>4</v>
      </c>
      <c r="P80" s="10" t="s">
        <v>428</v>
      </c>
      <c r="Q80" s="10"/>
      <c r="R80" s="10" t="s">
        <v>427</v>
      </c>
      <c r="S80" s="10"/>
      <c r="T80" s="10"/>
      <c r="U80" s="10" t="s">
        <v>427</v>
      </c>
      <c r="V80" s="10"/>
      <c r="W80" s="10"/>
      <c r="X80" s="10" t="s">
        <v>427</v>
      </c>
      <c r="Y80" s="10" t="s">
        <v>428</v>
      </c>
    </row>
    <row r="81" customFormat="false" ht="15" hidden="false" customHeight="false" outlineLevel="0" collapsed="false">
      <c r="A81" s="10" t="n">
        <v>1969</v>
      </c>
      <c r="B81" s="10" t="s">
        <v>440</v>
      </c>
      <c r="C81" s="10" t="s">
        <v>227</v>
      </c>
      <c r="D81" s="10" t="s">
        <v>261</v>
      </c>
      <c r="E81" s="10" t="s">
        <v>441</v>
      </c>
      <c r="F81" s="10" t="n">
        <v>9</v>
      </c>
      <c r="G81" s="10" t="n">
        <v>2</v>
      </c>
      <c r="H81" s="10" t="n">
        <v>0</v>
      </c>
      <c r="I81" s="10" t="n">
        <v>11</v>
      </c>
      <c r="J81" s="11" t="n">
        <v>0.8182</v>
      </c>
      <c r="K81" s="10" t="n">
        <v>6</v>
      </c>
      <c r="L81" s="10" t="n">
        <v>1</v>
      </c>
      <c r="M81" s="10" t="n">
        <v>0</v>
      </c>
      <c r="N81" s="11" t="n">
        <v>0.8571</v>
      </c>
      <c r="O81" s="10" t="n">
        <v>1</v>
      </c>
      <c r="P81" s="10" t="s">
        <v>428</v>
      </c>
      <c r="Q81" s="10"/>
      <c r="R81" s="10" t="s">
        <v>428</v>
      </c>
      <c r="S81" s="10" t="s">
        <v>446</v>
      </c>
      <c r="T81" s="10" t="s">
        <v>443</v>
      </c>
      <c r="U81" s="10" t="s">
        <v>427</v>
      </c>
      <c r="V81" s="10" t="n">
        <v>11</v>
      </c>
      <c r="W81" s="10" t="n">
        <v>12</v>
      </c>
      <c r="X81" s="10" t="s">
        <v>428</v>
      </c>
      <c r="Y81" s="10" t="s">
        <v>428</v>
      </c>
    </row>
    <row r="82" customFormat="false" ht="15" hidden="false" customHeight="false" outlineLevel="0" collapsed="false">
      <c r="A82" s="10" t="n">
        <v>1970</v>
      </c>
      <c r="B82" s="10" t="s">
        <v>447</v>
      </c>
      <c r="C82" s="10" t="s">
        <v>227</v>
      </c>
      <c r="D82" s="10" t="s">
        <v>261</v>
      </c>
      <c r="E82" s="10" t="s">
        <v>441</v>
      </c>
      <c r="F82" s="10" t="n">
        <v>11</v>
      </c>
      <c r="G82" s="10" t="n">
        <v>0</v>
      </c>
      <c r="H82" s="10" t="n">
        <v>1</v>
      </c>
      <c r="I82" s="10" t="n">
        <v>12</v>
      </c>
      <c r="J82" s="11" t="n">
        <v>0.9583</v>
      </c>
      <c r="K82" s="10" t="n">
        <v>7</v>
      </c>
      <c r="L82" s="10" t="n">
        <v>0</v>
      </c>
      <c r="M82" s="10" t="n">
        <v>0</v>
      </c>
      <c r="N82" s="11" t="n">
        <v>1</v>
      </c>
      <c r="O82" s="10" t="n">
        <v>1</v>
      </c>
      <c r="P82" s="10" t="s">
        <v>427</v>
      </c>
      <c r="Q82" s="10"/>
      <c r="R82" s="10" t="s">
        <v>428</v>
      </c>
      <c r="S82" s="10" t="s">
        <v>439</v>
      </c>
      <c r="T82" s="10" t="s">
        <v>443</v>
      </c>
      <c r="U82" s="10" t="s">
        <v>428</v>
      </c>
      <c r="V82" s="10" t="n">
        <v>1</v>
      </c>
      <c r="W82" s="10" t="n">
        <v>3</v>
      </c>
      <c r="X82" s="10" t="s">
        <v>428</v>
      </c>
      <c r="Y82" s="10" t="s">
        <v>428</v>
      </c>
    </row>
    <row r="83" customFormat="false" ht="15" hidden="false" customHeight="false" outlineLevel="0" collapsed="false">
      <c r="A83" s="10" t="n">
        <v>1971</v>
      </c>
      <c r="B83" s="10" t="s">
        <v>447</v>
      </c>
      <c r="C83" s="10" t="s">
        <v>227</v>
      </c>
      <c r="D83" s="10" t="s">
        <v>261</v>
      </c>
      <c r="E83" s="10" t="s">
        <v>441</v>
      </c>
      <c r="F83" s="10" t="n">
        <v>13</v>
      </c>
      <c r="G83" s="10" t="n">
        <v>0</v>
      </c>
      <c r="H83" s="10" t="n">
        <v>0</v>
      </c>
      <c r="I83" s="10" t="n">
        <v>13</v>
      </c>
      <c r="J83" s="11" t="n">
        <v>1</v>
      </c>
      <c r="K83" s="10" t="n">
        <v>7</v>
      </c>
      <c r="L83" s="10" t="n">
        <v>0</v>
      </c>
      <c r="M83" s="10" t="n">
        <v>0</v>
      </c>
      <c r="N83" s="11" t="n">
        <v>1</v>
      </c>
      <c r="O83" s="10" t="n">
        <v>1</v>
      </c>
      <c r="P83" s="10" t="s">
        <v>427</v>
      </c>
      <c r="Q83" s="10"/>
      <c r="R83" s="10" t="s">
        <v>428</v>
      </c>
      <c r="S83" s="10" t="s">
        <v>439</v>
      </c>
      <c r="T83" s="10" t="s">
        <v>443</v>
      </c>
      <c r="U83" s="10" t="s">
        <v>428</v>
      </c>
      <c r="V83" s="10" t="n">
        <v>1</v>
      </c>
      <c r="W83" s="10" t="n">
        <v>1</v>
      </c>
      <c r="X83" s="10" t="s">
        <v>428</v>
      </c>
      <c r="Y83" s="10" t="s">
        <v>428</v>
      </c>
    </row>
    <row r="84" customFormat="false" ht="15" hidden="false" customHeight="false" outlineLevel="0" collapsed="false">
      <c r="A84" s="10" t="n">
        <v>1972</v>
      </c>
      <c r="B84" s="10" t="s">
        <v>447</v>
      </c>
      <c r="C84" s="10" t="s">
        <v>227</v>
      </c>
      <c r="D84" s="10" t="s">
        <v>261</v>
      </c>
      <c r="E84" s="10" t="s">
        <v>441</v>
      </c>
      <c r="F84" s="10" t="n">
        <v>9</v>
      </c>
      <c r="G84" s="10" t="n">
        <v>2</v>
      </c>
      <c r="H84" s="10" t="n">
        <v>1</v>
      </c>
      <c r="I84" s="10" t="n">
        <v>12</v>
      </c>
      <c r="J84" s="11" t="n">
        <v>0.7917</v>
      </c>
      <c r="K84" s="10" t="n">
        <v>5</v>
      </c>
      <c r="L84" s="10" t="n">
        <v>1</v>
      </c>
      <c r="M84" s="10" t="n">
        <v>1</v>
      </c>
      <c r="N84" s="11" t="n">
        <v>0.7857</v>
      </c>
      <c r="O84" s="10" t="n">
        <v>1</v>
      </c>
      <c r="P84" s="10" t="s">
        <v>427</v>
      </c>
      <c r="Q84" s="10"/>
      <c r="R84" s="10" t="s">
        <v>428</v>
      </c>
      <c r="S84" s="10" t="s">
        <v>439</v>
      </c>
      <c r="T84" s="10" t="s">
        <v>443</v>
      </c>
      <c r="U84" s="10" t="s">
        <v>428</v>
      </c>
      <c r="V84" s="10" t="n">
        <v>4</v>
      </c>
      <c r="W84" s="10" t="n">
        <v>9</v>
      </c>
      <c r="X84" s="10" t="s">
        <v>428</v>
      </c>
      <c r="Y84" s="10" t="s">
        <v>428</v>
      </c>
    </row>
    <row r="85" customFormat="false" ht="15" hidden="false" customHeight="false" outlineLevel="0" collapsed="false">
      <c r="A85" s="10" t="n">
        <v>1973</v>
      </c>
      <c r="B85" s="10" t="s">
        <v>447</v>
      </c>
      <c r="C85" s="10" t="s">
        <v>260</v>
      </c>
      <c r="D85" s="10" t="s">
        <v>261</v>
      </c>
      <c r="E85" s="10" t="s">
        <v>441</v>
      </c>
      <c r="F85" s="10" t="n">
        <v>9</v>
      </c>
      <c r="G85" s="10" t="n">
        <v>2</v>
      </c>
      <c r="H85" s="10" t="n">
        <v>1</v>
      </c>
      <c r="I85" s="10" t="n">
        <v>12</v>
      </c>
      <c r="J85" s="11" t="n">
        <v>0.7917</v>
      </c>
      <c r="K85" s="10" t="n">
        <v>4</v>
      </c>
      <c r="L85" s="10" t="n">
        <v>2</v>
      </c>
      <c r="M85" s="10" t="n">
        <v>1</v>
      </c>
      <c r="N85" s="11" t="n">
        <v>0.6429</v>
      </c>
      <c r="O85" s="10" t="n">
        <v>2</v>
      </c>
      <c r="P85" s="10" t="s">
        <v>428</v>
      </c>
      <c r="Q85" s="10"/>
      <c r="R85" s="10" t="s">
        <v>428</v>
      </c>
      <c r="S85" s="10" t="s">
        <v>444</v>
      </c>
      <c r="T85" s="10" t="s">
        <v>443</v>
      </c>
      <c r="U85" s="10" t="s">
        <v>428</v>
      </c>
      <c r="V85" s="10" t="n">
        <v>7</v>
      </c>
      <c r="W85" s="10" t="n">
        <v>11</v>
      </c>
      <c r="X85" s="10" t="s">
        <v>428</v>
      </c>
      <c r="Y85" s="10" t="s">
        <v>428</v>
      </c>
    </row>
    <row r="86" customFormat="false" ht="15" hidden="false" customHeight="false" outlineLevel="0" collapsed="false">
      <c r="A86" s="10" t="n">
        <v>1974</v>
      </c>
      <c r="B86" s="10" t="s">
        <v>447</v>
      </c>
      <c r="C86" s="10" t="s">
        <v>260</v>
      </c>
      <c r="D86" s="10" t="s">
        <v>261</v>
      </c>
      <c r="E86" s="10" t="s">
        <v>441</v>
      </c>
      <c r="F86" s="10" t="n">
        <v>9</v>
      </c>
      <c r="G86" s="10" t="n">
        <v>3</v>
      </c>
      <c r="H86" s="10" t="n">
        <v>0</v>
      </c>
      <c r="I86" s="10" t="n">
        <v>12</v>
      </c>
      <c r="J86" s="11" t="n">
        <v>0.75</v>
      </c>
      <c r="K86" s="10" t="n">
        <v>5</v>
      </c>
      <c r="L86" s="10" t="n">
        <v>2</v>
      </c>
      <c r="M86" s="10" t="n">
        <v>0</v>
      </c>
      <c r="N86" s="11" t="n">
        <v>0.7143</v>
      </c>
      <c r="O86" s="10" t="n">
        <v>2</v>
      </c>
      <c r="P86" s="10" t="s">
        <v>428</v>
      </c>
      <c r="Q86" s="10"/>
      <c r="R86" s="10" t="s">
        <v>428</v>
      </c>
      <c r="S86" s="10" t="s">
        <v>445</v>
      </c>
      <c r="T86" s="10" t="s">
        <v>443</v>
      </c>
      <c r="U86" s="10" t="s">
        <v>428</v>
      </c>
      <c r="V86" s="10" t="n">
        <v>8</v>
      </c>
      <c r="W86" s="10" t="n">
        <v>9</v>
      </c>
      <c r="X86" s="10" t="s">
        <v>428</v>
      </c>
      <c r="Y86" s="10" t="s">
        <v>428</v>
      </c>
    </row>
    <row r="87" customFormat="false" ht="15" hidden="false" customHeight="false" outlineLevel="0" collapsed="false">
      <c r="A87" s="10" t="n">
        <v>1975</v>
      </c>
      <c r="B87" s="10" t="s">
        <v>447</v>
      </c>
      <c r="C87" s="10" t="s">
        <v>260</v>
      </c>
      <c r="D87" s="10" t="s">
        <v>261</v>
      </c>
      <c r="E87" s="10" t="s">
        <v>441</v>
      </c>
      <c r="F87" s="10" t="n">
        <v>10</v>
      </c>
      <c r="G87" s="10" t="n">
        <v>2</v>
      </c>
      <c r="H87" s="10" t="n">
        <v>0</v>
      </c>
      <c r="I87" s="10" t="n">
        <v>12</v>
      </c>
      <c r="J87" s="11" t="n">
        <v>0.8333</v>
      </c>
      <c r="K87" s="10" t="n">
        <v>6</v>
      </c>
      <c r="L87" s="10" t="n">
        <v>1</v>
      </c>
      <c r="M87" s="10" t="n">
        <v>0</v>
      </c>
      <c r="N87" s="11" t="n">
        <v>0.8571</v>
      </c>
      <c r="O87" s="10" t="n">
        <v>1</v>
      </c>
      <c r="P87" s="10" t="s">
        <v>428</v>
      </c>
      <c r="Q87" s="10"/>
      <c r="R87" s="10" t="s">
        <v>428</v>
      </c>
      <c r="S87" s="10" t="s">
        <v>448</v>
      </c>
      <c r="T87" s="10" t="s">
        <v>437</v>
      </c>
      <c r="U87" s="10" t="s">
        <v>428</v>
      </c>
      <c r="V87" s="10" t="n">
        <v>9</v>
      </c>
      <c r="W87" s="10" t="n">
        <v>9</v>
      </c>
      <c r="X87" s="10" t="s">
        <v>428</v>
      </c>
      <c r="Y87" s="10" t="s">
        <v>428</v>
      </c>
    </row>
    <row r="88" customFormat="false" ht="15" hidden="false" customHeight="false" outlineLevel="0" collapsed="false">
      <c r="A88" s="10" t="n">
        <v>1976</v>
      </c>
      <c r="B88" s="10" t="s">
        <v>447</v>
      </c>
      <c r="C88" s="10" t="s">
        <v>260</v>
      </c>
      <c r="D88" s="10" t="s">
        <v>261</v>
      </c>
      <c r="E88" s="10" t="s">
        <v>441</v>
      </c>
      <c r="F88" s="10" t="n">
        <v>9</v>
      </c>
      <c r="G88" s="10" t="n">
        <v>3</v>
      </c>
      <c r="H88" s="10" t="n">
        <v>1</v>
      </c>
      <c r="I88" s="10" t="n">
        <v>13</v>
      </c>
      <c r="J88" s="11" t="n">
        <v>0.7308</v>
      </c>
      <c r="K88" s="10" t="n">
        <v>4</v>
      </c>
      <c r="L88" s="10" t="n">
        <v>3</v>
      </c>
      <c r="M88" s="10" t="n">
        <v>0</v>
      </c>
      <c r="N88" s="11" t="n">
        <v>0.5714</v>
      </c>
      <c r="O88" s="10" t="n">
        <v>4</v>
      </c>
      <c r="P88" s="10" t="s">
        <v>428</v>
      </c>
      <c r="Q88" s="10"/>
      <c r="R88" s="10" t="s">
        <v>428</v>
      </c>
      <c r="S88" s="10" t="s">
        <v>449</v>
      </c>
      <c r="T88" s="10" t="s">
        <v>443</v>
      </c>
      <c r="U88" s="10" t="s">
        <v>427</v>
      </c>
      <c r="V88" s="10" t="n">
        <v>9</v>
      </c>
      <c r="W88" s="10" t="n">
        <v>7</v>
      </c>
      <c r="X88" s="10" t="s">
        <v>428</v>
      </c>
      <c r="Y88" s="10" t="s">
        <v>428</v>
      </c>
    </row>
    <row r="89" customFormat="false" ht="15" hidden="false" customHeight="false" outlineLevel="0" collapsed="false">
      <c r="A89" s="10" t="n">
        <v>1977</v>
      </c>
      <c r="B89" s="10" t="s">
        <v>447</v>
      </c>
      <c r="C89" s="10" t="s">
        <v>260</v>
      </c>
      <c r="D89" s="10" t="s">
        <v>261</v>
      </c>
      <c r="E89" s="10" t="s">
        <v>441</v>
      </c>
      <c r="F89" s="10" t="n">
        <v>9</v>
      </c>
      <c r="G89" s="10" t="n">
        <v>3</v>
      </c>
      <c r="H89" s="10" t="n">
        <v>0</v>
      </c>
      <c r="I89" s="10" t="n">
        <v>12</v>
      </c>
      <c r="J89" s="11" t="n">
        <v>0.75</v>
      </c>
      <c r="K89" s="10" t="n">
        <v>5</v>
      </c>
      <c r="L89" s="10" t="n">
        <v>2</v>
      </c>
      <c r="M89" s="10" t="n">
        <v>0</v>
      </c>
      <c r="N89" s="11" t="n">
        <v>0.7143</v>
      </c>
      <c r="O89" s="10" t="n">
        <v>2</v>
      </c>
      <c r="P89" s="10" t="s">
        <v>428</v>
      </c>
      <c r="Q89" s="10"/>
      <c r="R89" s="10" t="s">
        <v>428</v>
      </c>
      <c r="S89" s="10" t="s">
        <v>450</v>
      </c>
      <c r="T89" s="10" t="s">
        <v>443</v>
      </c>
      <c r="U89" s="10" t="s">
        <v>427</v>
      </c>
      <c r="V89" s="10" t="n">
        <v>12</v>
      </c>
      <c r="W89" s="10" t="n">
        <v>10</v>
      </c>
      <c r="X89" s="10" t="s">
        <v>428</v>
      </c>
      <c r="Y89" s="10" t="s">
        <v>428</v>
      </c>
    </row>
    <row r="90" customFormat="false" ht="15" hidden="false" customHeight="false" outlineLevel="0" collapsed="false">
      <c r="A90" s="10" t="n">
        <v>1978</v>
      </c>
      <c r="B90" s="10" t="s">
        <v>447</v>
      </c>
      <c r="C90" s="10" t="s">
        <v>260</v>
      </c>
      <c r="D90" s="10" t="s">
        <v>261</v>
      </c>
      <c r="E90" s="10" t="s">
        <v>441</v>
      </c>
      <c r="F90" s="10" t="n">
        <v>9</v>
      </c>
      <c r="G90" s="10" t="n">
        <v>3</v>
      </c>
      <c r="H90" s="10" t="n">
        <v>0</v>
      </c>
      <c r="I90" s="10" t="n">
        <v>12</v>
      </c>
      <c r="J90" s="11" t="n">
        <v>0.75</v>
      </c>
      <c r="K90" s="10" t="n">
        <v>6</v>
      </c>
      <c r="L90" s="10" t="n">
        <v>1</v>
      </c>
      <c r="M90" s="10" t="n">
        <v>0</v>
      </c>
      <c r="N90" s="11" t="n">
        <v>0.8571</v>
      </c>
      <c r="O90" s="10" t="n">
        <v>1</v>
      </c>
      <c r="P90" s="10" t="s">
        <v>428</v>
      </c>
      <c r="Q90" s="10"/>
      <c r="R90" s="10" t="s">
        <v>428</v>
      </c>
      <c r="S90" s="10" t="s">
        <v>439</v>
      </c>
      <c r="T90" s="10" t="s">
        <v>437</v>
      </c>
      <c r="U90" s="10" t="s">
        <v>428</v>
      </c>
      <c r="V90" s="10" t="n">
        <v>8</v>
      </c>
      <c r="W90" s="10" t="n">
        <v>8</v>
      </c>
      <c r="X90" s="10" t="s">
        <v>428</v>
      </c>
      <c r="Y90" s="10" t="s">
        <v>428</v>
      </c>
    </row>
    <row r="91" customFormat="false" ht="15" hidden="false" customHeight="false" outlineLevel="0" collapsed="false">
      <c r="A91" s="10" t="n">
        <v>1979</v>
      </c>
      <c r="B91" s="10" t="s">
        <v>447</v>
      </c>
      <c r="C91" s="10" t="s">
        <v>260</v>
      </c>
      <c r="D91" s="10" t="s">
        <v>261</v>
      </c>
      <c r="E91" s="10" t="s">
        <v>441</v>
      </c>
      <c r="F91" s="10" t="n">
        <v>10</v>
      </c>
      <c r="G91" s="10" t="n">
        <v>2</v>
      </c>
      <c r="H91" s="10" t="n">
        <v>0</v>
      </c>
      <c r="I91" s="10" t="n">
        <v>12</v>
      </c>
      <c r="J91" s="11" t="n">
        <v>0.8333</v>
      </c>
      <c r="K91" s="10" t="n">
        <v>6</v>
      </c>
      <c r="L91" s="10" t="n">
        <v>1</v>
      </c>
      <c r="M91" s="10" t="n">
        <v>0</v>
      </c>
      <c r="N91" s="11" t="n">
        <v>0.8571</v>
      </c>
      <c r="O91" s="10" t="n">
        <v>2</v>
      </c>
      <c r="P91" s="10" t="s">
        <v>427</v>
      </c>
      <c r="Q91" s="10"/>
      <c r="R91" s="10" t="s">
        <v>428</v>
      </c>
      <c r="S91" s="10" t="s">
        <v>444</v>
      </c>
      <c r="T91" s="10" t="s">
        <v>437</v>
      </c>
      <c r="U91" s="10" t="s">
        <v>428</v>
      </c>
      <c r="V91" s="10" t="n">
        <v>9</v>
      </c>
      <c r="W91" s="10" t="n">
        <v>7</v>
      </c>
      <c r="X91" s="10" t="s">
        <v>428</v>
      </c>
      <c r="Y91" s="10" t="s">
        <v>428</v>
      </c>
    </row>
    <row r="92" customFormat="false" ht="15" hidden="false" customHeight="false" outlineLevel="0" collapsed="false">
      <c r="A92" s="10" t="n">
        <v>1980</v>
      </c>
      <c r="B92" s="10" t="s">
        <v>451</v>
      </c>
      <c r="C92" s="10" t="s">
        <v>260</v>
      </c>
      <c r="D92" s="10" t="s">
        <v>261</v>
      </c>
      <c r="E92" s="10" t="s">
        <v>441</v>
      </c>
      <c r="F92" s="10" t="n">
        <v>10</v>
      </c>
      <c r="G92" s="10" t="n">
        <v>2</v>
      </c>
      <c r="H92" s="10" t="n">
        <v>0</v>
      </c>
      <c r="I92" s="10" t="n">
        <v>12</v>
      </c>
      <c r="J92" s="11" t="n">
        <v>0.8333</v>
      </c>
      <c r="K92" s="10" t="n">
        <v>6</v>
      </c>
      <c r="L92" s="10" t="n">
        <v>1</v>
      </c>
      <c r="M92" s="10" t="n">
        <v>0</v>
      </c>
      <c r="N92" s="11" t="n">
        <v>0.8571</v>
      </c>
      <c r="O92" s="10" t="n">
        <v>2</v>
      </c>
      <c r="P92" s="10" t="s">
        <v>427</v>
      </c>
      <c r="Q92" s="10"/>
      <c r="R92" s="10" t="s">
        <v>428</v>
      </c>
      <c r="S92" s="10" t="s">
        <v>446</v>
      </c>
      <c r="T92" s="10" t="s">
        <v>443</v>
      </c>
      <c r="U92" s="10" t="s">
        <v>427</v>
      </c>
      <c r="V92" s="10" t="n">
        <v>7</v>
      </c>
      <c r="W92" s="10" t="n">
        <v>7</v>
      </c>
      <c r="X92" s="10" t="s">
        <v>428</v>
      </c>
      <c r="Y92" s="10" t="s">
        <v>428</v>
      </c>
    </row>
    <row r="93" customFormat="false" ht="15" hidden="false" customHeight="false" outlineLevel="0" collapsed="false">
      <c r="A93" s="10" t="n">
        <v>1981</v>
      </c>
      <c r="B93" s="10" t="s">
        <v>451</v>
      </c>
      <c r="C93" s="10" t="s">
        <v>260</v>
      </c>
      <c r="D93" s="10" t="s">
        <v>261</v>
      </c>
      <c r="E93" s="10" t="s">
        <v>441</v>
      </c>
      <c r="F93" s="10" t="n">
        <v>9</v>
      </c>
      <c r="G93" s="10" t="n">
        <v>3</v>
      </c>
      <c r="H93" s="10" t="n">
        <v>0</v>
      </c>
      <c r="I93" s="10" t="n">
        <v>12</v>
      </c>
      <c r="J93" s="11" t="n">
        <v>0.75</v>
      </c>
      <c r="K93" s="10" t="n">
        <v>7</v>
      </c>
      <c r="L93" s="10" t="n">
        <v>0</v>
      </c>
      <c r="M93" s="10" t="n">
        <v>0</v>
      </c>
      <c r="N93" s="11" t="n">
        <v>1</v>
      </c>
      <c r="O93" s="10" t="n">
        <v>1</v>
      </c>
      <c r="P93" s="10" t="s">
        <v>427</v>
      </c>
      <c r="Q93" s="10"/>
      <c r="R93" s="10" t="s">
        <v>428</v>
      </c>
      <c r="S93" s="10" t="s">
        <v>439</v>
      </c>
      <c r="T93" s="10" t="s">
        <v>437</v>
      </c>
      <c r="U93" s="10" t="s">
        <v>428</v>
      </c>
      <c r="V93" s="10" t="n">
        <v>11</v>
      </c>
      <c r="W93" s="10" t="n">
        <v>9</v>
      </c>
      <c r="X93" s="10" t="s">
        <v>428</v>
      </c>
      <c r="Y93" s="10" t="s">
        <v>428</v>
      </c>
    </row>
    <row r="94" customFormat="false" ht="15" hidden="false" customHeight="false" outlineLevel="0" collapsed="false">
      <c r="A94" s="10" t="n">
        <v>1982</v>
      </c>
      <c r="B94" s="10" t="s">
        <v>451</v>
      </c>
      <c r="C94" s="10" t="s">
        <v>260</v>
      </c>
      <c r="D94" s="10" t="s">
        <v>261</v>
      </c>
      <c r="E94" s="10" t="s">
        <v>441</v>
      </c>
      <c r="F94" s="10" t="n">
        <v>12</v>
      </c>
      <c r="G94" s="10" t="n">
        <v>1</v>
      </c>
      <c r="H94" s="10" t="n">
        <v>0</v>
      </c>
      <c r="I94" s="10" t="n">
        <v>13</v>
      </c>
      <c r="J94" s="11" t="n">
        <v>0.9231</v>
      </c>
      <c r="K94" s="10" t="n">
        <v>7</v>
      </c>
      <c r="L94" s="10" t="n">
        <v>0</v>
      </c>
      <c r="M94" s="10" t="n">
        <v>0</v>
      </c>
      <c r="N94" s="11" t="n">
        <v>1</v>
      </c>
      <c r="O94" s="10" t="n">
        <v>1</v>
      </c>
      <c r="P94" s="10" t="s">
        <v>427</v>
      </c>
      <c r="Q94" s="10"/>
      <c r="R94" s="10" t="s">
        <v>428</v>
      </c>
      <c r="S94" s="10" t="s">
        <v>439</v>
      </c>
      <c r="T94" s="10" t="s">
        <v>443</v>
      </c>
      <c r="U94" s="10" t="s">
        <v>428</v>
      </c>
      <c r="V94" s="10" t="n">
        <v>3</v>
      </c>
      <c r="W94" s="10" t="n">
        <v>3</v>
      </c>
      <c r="X94" s="10" t="s">
        <v>428</v>
      </c>
      <c r="Y94" s="10" t="s">
        <v>428</v>
      </c>
    </row>
    <row r="95" customFormat="false" ht="15" hidden="false" customHeight="false" outlineLevel="0" collapsed="false">
      <c r="A95" s="10" t="n">
        <v>1983</v>
      </c>
      <c r="B95" s="10" t="s">
        <v>451</v>
      </c>
      <c r="C95" s="10" t="s">
        <v>260</v>
      </c>
      <c r="D95" s="10" t="s">
        <v>261</v>
      </c>
      <c r="E95" s="10" t="s">
        <v>441</v>
      </c>
      <c r="F95" s="10" t="n">
        <v>12</v>
      </c>
      <c r="G95" s="10" t="n">
        <v>1</v>
      </c>
      <c r="H95" s="10" t="n">
        <v>0</v>
      </c>
      <c r="I95" s="10" t="n">
        <v>13</v>
      </c>
      <c r="J95" s="11" t="n">
        <v>0.9231</v>
      </c>
      <c r="K95" s="10" t="n">
        <v>7</v>
      </c>
      <c r="L95" s="10" t="n">
        <v>0</v>
      </c>
      <c r="M95" s="10" t="n">
        <v>0</v>
      </c>
      <c r="N95" s="11" t="n">
        <v>1</v>
      </c>
      <c r="O95" s="10" t="n">
        <v>1</v>
      </c>
      <c r="P95" s="10" t="s">
        <v>427</v>
      </c>
      <c r="Q95" s="10"/>
      <c r="R95" s="10" t="s">
        <v>428</v>
      </c>
      <c r="S95" s="10" t="s">
        <v>439</v>
      </c>
      <c r="T95" s="10" t="s">
        <v>437</v>
      </c>
      <c r="U95" s="10" t="s">
        <v>428</v>
      </c>
      <c r="V95" s="10" t="n">
        <v>2</v>
      </c>
      <c r="W95" s="10" t="n">
        <v>2</v>
      </c>
      <c r="X95" s="10" t="s">
        <v>428</v>
      </c>
      <c r="Y95" s="10" t="s">
        <v>428</v>
      </c>
    </row>
    <row r="96" customFormat="false" ht="15" hidden="false" customHeight="false" outlineLevel="0" collapsed="false">
      <c r="A96" s="10" t="n">
        <v>1984</v>
      </c>
      <c r="B96" s="10" t="s">
        <v>451</v>
      </c>
      <c r="C96" s="10" t="s">
        <v>260</v>
      </c>
      <c r="D96" s="10" t="s">
        <v>261</v>
      </c>
      <c r="E96" s="10" t="s">
        <v>441</v>
      </c>
      <c r="F96" s="10" t="n">
        <v>10</v>
      </c>
      <c r="G96" s="10" t="n">
        <v>2</v>
      </c>
      <c r="H96" s="10" t="n">
        <v>0</v>
      </c>
      <c r="I96" s="10" t="n">
        <v>12</v>
      </c>
      <c r="J96" s="11" t="n">
        <v>0.8333</v>
      </c>
      <c r="K96" s="10" t="n">
        <v>6</v>
      </c>
      <c r="L96" s="10" t="n">
        <v>1</v>
      </c>
      <c r="M96" s="10" t="n">
        <v>0</v>
      </c>
      <c r="N96" s="11" t="n">
        <v>0.8571</v>
      </c>
      <c r="O96" s="10" t="n">
        <v>1</v>
      </c>
      <c r="P96" s="10" t="s">
        <v>428</v>
      </c>
      <c r="Q96" s="10"/>
      <c r="R96" s="10" t="s">
        <v>428</v>
      </c>
      <c r="S96" s="10" t="s">
        <v>445</v>
      </c>
      <c r="T96" s="10" t="s">
        <v>443</v>
      </c>
      <c r="U96" s="10" t="s">
        <v>428</v>
      </c>
      <c r="V96" s="10" t="n">
        <v>4</v>
      </c>
      <c r="W96" s="10" t="n">
        <v>3</v>
      </c>
      <c r="X96" s="10" t="s">
        <v>428</v>
      </c>
      <c r="Y96" s="10" t="s">
        <v>428</v>
      </c>
    </row>
    <row r="97" customFormat="false" ht="15" hidden="false" customHeight="false" outlineLevel="0" collapsed="false">
      <c r="A97" s="10" t="n">
        <v>1985</v>
      </c>
      <c r="B97" s="10" t="s">
        <v>451</v>
      </c>
      <c r="C97" s="10" t="s">
        <v>260</v>
      </c>
      <c r="D97" s="10" t="s">
        <v>261</v>
      </c>
      <c r="E97" s="10" t="s">
        <v>441</v>
      </c>
      <c r="F97" s="10" t="n">
        <v>9</v>
      </c>
      <c r="G97" s="10" t="n">
        <v>3</v>
      </c>
      <c r="H97" s="10" t="n">
        <v>0</v>
      </c>
      <c r="I97" s="10" t="n">
        <v>12</v>
      </c>
      <c r="J97" s="11" t="n">
        <v>0.75</v>
      </c>
      <c r="K97" s="10" t="n">
        <v>6</v>
      </c>
      <c r="L97" s="10" t="n">
        <v>1</v>
      </c>
      <c r="M97" s="10" t="n">
        <v>0</v>
      </c>
      <c r="N97" s="11" t="n">
        <v>0.8571</v>
      </c>
      <c r="O97" s="10" t="n">
        <v>2</v>
      </c>
      <c r="P97" s="10" t="s">
        <v>427</v>
      </c>
      <c r="Q97" s="10"/>
      <c r="R97" s="10" t="s">
        <v>428</v>
      </c>
      <c r="S97" s="10" t="s">
        <v>448</v>
      </c>
      <c r="T97" s="10" t="s">
        <v>437</v>
      </c>
      <c r="U97" s="10" t="s">
        <v>428</v>
      </c>
      <c r="V97" s="10" t="n">
        <v>11</v>
      </c>
      <c r="W97" s="10" t="n">
        <v>10</v>
      </c>
      <c r="X97" s="10" t="s">
        <v>428</v>
      </c>
      <c r="Y97" s="10" t="s">
        <v>428</v>
      </c>
    </row>
    <row r="98" customFormat="false" ht="15" hidden="false" customHeight="false" outlineLevel="0" collapsed="false">
      <c r="A98" s="10" t="n">
        <v>1986</v>
      </c>
      <c r="B98" s="10" t="s">
        <v>451</v>
      </c>
      <c r="C98" s="10" t="s">
        <v>260</v>
      </c>
      <c r="D98" s="10" t="s">
        <v>261</v>
      </c>
      <c r="E98" s="10" t="s">
        <v>441</v>
      </c>
      <c r="F98" s="10" t="n">
        <v>10</v>
      </c>
      <c r="G98" s="10" t="n">
        <v>2</v>
      </c>
      <c r="H98" s="10" t="n">
        <v>0</v>
      </c>
      <c r="I98" s="10" t="n">
        <v>12</v>
      </c>
      <c r="J98" s="11" t="n">
        <v>0.8333</v>
      </c>
      <c r="K98" s="10" t="n">
        <v>5</v>
      </c>
      <c r="L98" s="10" t="n">
        <v>2</v>
      </c>
      <c r="M98" s="10" t="n">
        <v>0</v>
      </c>
      <c r="N98" s="11" t="n">
        <v>0.7143</v>
      </c>
      <c r="O98" s="10" t="n">
        <v>3</v>
      </c>
      <c r="P98" s="10" t="s">
        <v>427</v>
      </c>
      <c r="Q98" s="10"/>
      <c r="R98" s="10" t="s">
        <v>428</v>
      </c>
      <c r="S98" s="10" t="s">
        <v>445</v>
      </c>
      <c r="T98" s="10" t="s">
        <v>443</v>
      </c>
      <c r="U98" s="10" t="s">
        <v>428</v>
      </c>
      <c r="V98" s="10" t="n">
        <v>5</v>
      </c>
      <c r="W98" s="10" t="n">
        <v>4</v>
      </c>
      <c r="X98" s="10" t="s">
        <v>428</v>
      </c>
      <c r="Y98" s="10" t="s">
        <v>428</v>
      </c>
    </row>
    <row r="99" customFormat="false" ht="15" hidden="false" customHeight="false" outlineLevel="0" collapsed="false">
      <c r="A99" s="10" t="n">
        <v>1987</v>
      </c>
      <c r="B99" s="10" t="s">
        <v>451</v>
      </c>
      <c r="C99" s="10" t="s">
        <v>260</v>
      </c>
      <c r="D99" s="10" t="s">
        <v>261</v>
      </c>
      <c r="E99" s="10" t="s">
        <v>441</v>
      </c>
      <c r="F99" s="10" t="n">
        <v>10</v>
      </c>
      <c r="G99" s="10" t="n">
        <v>2</v>
      </c>
      <c r="H99" s="10" t="n">
        <v>0</v>
      </c>
      <c r="I99" s="10" t="n">
        <v>12</v>
      </c>
      <c r="J99" s="11" t="n">
        <v>0.8333</v>
      </c>
      <c r="K99" s="10" t="n">
        <v>6</v>
      </c>
      <c r="L99" s="10" t="n">
        <v>1</v>
      </c>
      <c r="M99" s="10" t="n">
        <v>0</v>
      </c>
      <c r="N99" s="11" t="n">
        <v>0.8571</v>
      </c>
      <c r="O99" s="10" t="n">
        <v>2</v>
      </c>
      <c r="P99" s="10" t="s">
        <v>427</v>
      </c>
      <c r="Q99" s="10"/>
      <c r="R99" s="10" t="s">
        <v>428</v>
      </c>
      <c r="S99" s="10" t="s">
        <v>448</v>
      </c>
      <c r="T99" s="10" t="s">
        <v>437</v>
      </c>
      <c r="U99" s="10" t="s">
        <v>428</v>
      </c>
      <c r="V99" s="10" t="n">
        <v>6</v>
      </c>
      <c r="W99" s="10" t="n">
        <v>6</v>
      </c>
      <c r="X99" s="10" t="s">
        <v>428</v>
      </c>
      <c r="Y99" s="10" t="s">
        <v>428</v>
      </c>
    </row>
    <row r="100" customFormat="false" ht="15" hidden="false" customHeight="false" outlineLevel="0" collapsed="false">
      <c r="A100" s="10" t="n">
        <v>1988</v>
      </c>
      <c r="B100" s="10" t="s">
        <v>451</v>
      </c>
      <c r="C100" s="10" t="s">
        <v>260</v>
      </c>
      <c r="D100" s="10" t="s">
        <v>261</v>
      </c>
      <c r="E100" s="10" t="s">
        <v>441</v>
      </c>
      <c r="F100" s="10" t="n">
        <v>11</v>
      </c>
      <c r="G100" s="10" t="n">
        <v>2</v>
      </c>
      <c r="H100" s="10" t="n">
        <v>0</v>
      </c>
      <c r="I100" s="10" t="n">
        <v>13</v>
      </c>
      <c r="J100" s="11" t="n">
        <v>0.8462</v>
      </c>
      <c r="K100" s="10" t="n">
        <v>7</v>
      </c>
      <c r="L100" s="10" t="n">
        <v>0</v>
      </c>
      <c r="M100" s="10" t="n">
        <v>0</v>
      </c>
      <c r="N100" s="11" t="n">
        <v>1</v>
      </c>
      <c r="O100" s="10" t="n">
        <v>1</v>
      </c>
      <c r="P100" s="10" t="s">
        <v>427</v>
      </c>
      <c r="Q100" s="10"/>
      <c r="R100" s="10" t="s">
        <v>428</v>
      </c>
      <c r="S100" s="10" t="s">
        <v>439</v>
      </c>
      <c r="T100" s="10" t="s">
        <v>437</v>
      </c>
      <c r="U100" s="10" t="s">
        <v>428</v>
      </c>
      <c r="V100" s="10" t="n">
        <v>10</v>
      </c>
      <c r="W100" s="10" t="n">
        <v>10</v>
      </c>
      <c r="X100" s="10" t="s">
        <v>428</v>
      </c>
      <c r="Y100" s="10" t="s">
        <v>428</v>
      </c>
    </row>
    <row r="101" customFormat="false" ht="15" hidden="false" customHeight="false" outlineLevel="0" collapsed="false">
      <c r="A101" s="10" t="n">
        <v>1989</v>
      </c>
      <c r="B101" s="10" t="s">
        <v>451</v>
      </c>
      <c r="C101" s="10" t="s">
        <v>260</v>
      </c>
      <c r="D101" s="10" t="s">
        <v>261</v>
      </c>
      <c r="E101" s="10" t="s">
        <v>441</v>
      </c>
      <c r="F101" s="10" t="n">
        <v>10</v>
      </c>
      <c r="G101" s="10" t="n">
        <v>2</v>
      </c>
      <c r="H101" s="10" t="n">
        <v>0</v>
      </c>
      <c r="I101" s="10" t="n">
        <v>12</v>
      </c>
      <c r="J101" s="11" t="n">
        <v>0.8333</v>
      </c>
      <c r="K101" s="10" t="n">
        <v>6</v>
      </c>
      <c r="L101" s="10" t="n">
        <v>1</v>
      </c>
      <c r="M101" s="10" t="n">
        <v>0</v>
      </c>
      <c r="N101" s="11" t="n">
        <v>0.8571</v>
      </c>
      <c r="O101" s="10" t="n">
        <v>2</v>
      </c>
      <c r="P101" s="10" t="s">
        <v>427</v>
      </c>
      <c r="Q101" s="10"/>
      <c r="R101" s="10" t="s">
        <v>428</v>
      </c>
      <c r="S101" s="10" t="s">
        <v>448</v>
      </c>
      <c r="T101" s="10" t="s">
        <v>437</v>
      </c>
      <c r="U101" s="10" t="s">
        <v>428</v>
      </c>
      <c r="V101" s="10" t="n">
        <v>11</v>
      </c>
      <c r="W101" s="10" t="n">
        <v>12</v>
      </c>
      <c r="X101" s="10" t="s">
        <v>428</v>
      </c>
      <c r="Y101" s="10" t="s">
        <v>428</v>
      </c>
    </row>
    <row r="102" customFormat="false" ht="15" hidden="false" customHeight="false" outlineLevel="0" collapsed="false">
      <c r="A102" s="10" t="n">
        <v>1990</v>
      </c>
      <c r="B102" s="10" t="s">
        <v>452</v>
      </c>
      <c r="C102" s="10" t="s">
        <v>260</v>
      </c>
      <c r="D102" s="10" t="s">
        <v>261</v>
      </c>
      <c r="E102" s="10" t="s">
        <v>441</v>
      </c>
      <c r="F102" s="10" t="n">
        <v>9</v>
      </c>
      <c r="G102" s="10" t="n">
        <v>3</v>
      </c>
      <c r="H102" s="10" t="n">
        <v>0</v>
      </c>
      <c r="I102" s="10" t="n">
        <v>12</v>
      </c>
      <c r="J102" s="11" t="n">
        <v>0.75</v>
      </c>
      <c r="K102" s="10" t="n">
        <v>5</v>
      </c>
      <c r="L102" s="10" t="n">
        <v>2</v>
      </c>
      <c r="M102" s="10" t="n">
        <v>0</v>
      </c>
      <c r="N102" s="11" t="n">
        <v>0.7143</v>
      </c>
      <c r="O102" s="10" t="n">
        <v>3</v>
      </c>
      <c r="P102" s="10" t="s">
        <v>427</v>
      </c>
      <c r="Q102" s="10"/>
      <c r="R102" s="10" t="s">
        <v>428</v>
      </c>
      <c r="S102" s="10" t="s">
        <v>453</v>
      </c>
      <c r="T102" s="10" t="s">
        <v>437</v>
      </c>
      <c r="U102" s="10" t="s">
        <v>427</v>
      </c>
      <c r="V102" s="10" t="n">
        <v>24</v>
      </c>
      <c r="W102" s="10" t="n">
        <v>17</v>
      </c>
      <c r="X102" s="10" t="s">
        <v>428</v>
      </c>
      <c r="Y102" s="10" t="s">
        <v>428</v>
      </c>
    </row>
    <row r="103" customFormat="false" ht="15" hidden="false" customHeight="false" outlineLevel="0" collapsed="false">
      <c r="A103" s="10" t="n">
        <v>1991</v>
      </c>
      <c r="B103" s="10" t="s">
        <v>452</v>
      </c>
      <c r="C103" s="10" t="s">
        <v>260</v>
      </c>
      <c r="D103" s="10" t="s">
        <v>261</v>
      </c>
      <c r="E103" s="10" t="s">
        <v>441</v>
      </c>
      <c r="F103" s="10" t="n">
        <v>9</v>
      </c>
      <c r="G103" s="10" t="n">
        <v>2</v>
      </c>
      <c r="H103" s="10" t="n">
        <v>1</v>
      </c>
      <c r="I103" s="10" t="n">
        <v>12</v>
      </c>
      <c r="J103" s="11" t="n">
        <v>0.7917</v>
      </c>
      <c r="K103" s="10" t="n">
        <v>6</v>
      </c>
      <c r="L103" s="10" t="n">
        <v>0</v>
      </c>
      <c r="M103" s="10" t="n">
        <v>1</v>
      </c>
      <c r="N103" s="11" t="n">
        <v>0.9286</v>
      </c>
      <c r="O103" s="10" t="n">
        <v>1</v>
      </c>
      <c r="P103" s="10" t="s">
        <v>428</v>
      </c>
      <c r="Q103" s="10"/>
      <c r="R103" s="10" t="s">
        <v>428</v>
      </c>
      <c r="S103" s="10" t="s">
        <v>439</v>
      </c>
      <c r="T103" s="10" t="s">
        <v>437</v>
      </c>
      <c r="U103" s="10" t="s">
        <v>428</v>
      </c>
      <c r="V103" s="10" t="n">
        <v>15</v>
      </c>
      <c r="W103" s="10" t="n">
        <v>16</v>
      </c>
      <c r="X103" s="10" t="s">
        <v>428</v>
      </c>
      <c r="Y103" s="10" t="s">
        <v>428</v>
      </c>
    </row>
    <row r="104" customFormat="false" ht="15" hidden="false" customHeight="false" outlineLevel="0" collapsed="false">
      <c r="A104" s="10" t="n">
        <v>1992</v>
      </c>
      <c r="B104" s="10" t="s">
        <v>452</v>
      </c>
      <c r="C104" s="10" t="s">
        <v>260</v>
      </c>
      <c r="D104" s="10" t="s">
        <v>261</v>
      </c>
      <c r="E104" s="10" t="s">
        <v>441</v>
      </c>
      <c r="F104" s="10" t="n">
        <v>9</v>
      </c>
      <c r="G104" s="10" t="n">
        <v>3</v>
      </c>
      <c r="H104" s="10" t="n">
        <v>0</v>
      </c>
      <c r="I104" s="10" t="n">
        <v>12</v>
      </c>
      <c r="J104" s="11" t="n">
        <v>0.75</v>
      </c>
      <c r="K104" s="10" t="n">
        <v>6</v>
      </c>
      <c r="L104" s="10" t="n">
        <v>1</v>
      </c>
      <c r="M104" s="10" t="n">
        <v>0</v>
      </c>
      <c r="N104" s="11" t="n">
        <v>0.8571</v>
      </c>
      <c r="O104" s="10" t="n">
        <v>1</v>
      </c>
      <c r="P104" s="10" t="s">
        <v>427</v>
      </c>
      <c r="Q104" s="10"/>
      <c r="R104" s="10" t="s">
        <v>428</v>
      </c>
      <c r="S104" s="10" t="s">
        <v>439</v>
      </c>
      <c r="T104" s="10" t="s">
        <v>437</v>
      </c>
      <c r="U104" s="10" t="s">
        <v>428</v>
      </c>
      <c r="V104" s="10" t="n">
        <v>14</v>
      </c>
      <c r="W104" s="10" t="n">
        <v>14</v>
      </c>
      <c r="X104" s="10" t="s">
        <v>428</v>
      </c>
      <c r="Y104" s="10" t="s">
        <v>428</v>
      </c>
    </row>
    <row r="105" customFormat="false" ht="15" hidden="false" customHeight="false" outlineLevel="0" collapsed="false">
      <c r="A105" s="10" t="n">
        <v>1993</v>
      </c>
      <c r="B105" s="10" t="s">
        <v>452</v>
      </c>
      <c r="C105" s="10" t="s">
        <v>260</v>
      </c>
      <c r="D105" s="10" t="s">
        <v>261</v>
      </c>
      <c r="E105" s="10" t="s">
        <v>441</v>
      </c>
      <c r="F105" s="10" t="n">
        <v>11</v>
      </c>
      <c r="G105" s="10" t="n">
        <v>1</v>
      </c>
      <c r="H105" s="10" t="n">
        <v>0</v>
      </c>
      <c r="I105" s="10" t="n">
        <v>12</v>
      </c>
      <c r="J105" s="11" t="n">
        <v>0.9167</v>
      </c>
      <c r="K105" s="10" t="n">
        <v>7</v>
      </c>
      <c r="L105" s="10" t="n">
        <v>0</v>
      </c>
      <c r="M105" s="10" t="n">
        <v>0</v>
      </c>
      <c r="N105" s="11" t="n">
        <v>1</v>
      </c>
      <c r="O105" s="10" t="n">
        <v>1</v>
      </c>
      <c r="P105" s="10" t="s">
        <v>427</v>
      </c>
      <c r="Q105" s="10"/>
      <c r="R105" s="10" t="s">
        <v>428</v>
      </c>
      <c r="S105" s="10" t="s">
        <v>439</v>
      </c>
      <c r="T105" s="10" t="s">
        <v>437</v>
      </c>
      <c r="U105" s="10" t="s">
        <v>428</v>
      </c>
      <c r="V105" s="10" t="n">
        <v>3</v>
      </c>
      <c r="W105" s="10" t="n">
        <v>3</v>
      </c>
      <c r="X105" s="10" t="s">
        <v>428</v>
      </c>
      <c r="Y105" s="10" t="s">
        <v>428</v>
      </c>
    </row>
    <row r="106" customFormat="false" ht="15" hidden="false" customHeight="false" outlineLevel="0" collapsed="false">
      <c r="A106" s="10" t="n">
        <v>1994</v>
      </c>
      <c r="B106" s="10" t="s">
        <v>452</v>
      </c>
      <c r="C106" s="10" t="s">
        <v>260</v>
      </c>
      <c r="D106" s="10" t="s">
        <v>261</v>
      </c>
      <c r="E106" s="10" t="s">
        <v>441</v>
      </c>
      <c r="F106" s="10" t="n">
        <v>13</v>
      </c>
      <c r="G106" s="10" t="n">
        <v>0</v>
      </c>
      <c r="H106" s="10" t="n">
        <v>0</v>
      </c>
      <c r="I106" s="10" t="n">
        <v>13</v>
      </c>
      <c r="J106" s="11" t="n">
        <v>1</v>
      </c>
      <c r="K106" s="10" t="n">
        <v>7</v>
      </c>
      <c r="L106" s="10" t="n">
        <v>0</v>
      </c>
      <c r="M106" s="10" t="n">
        <v>0</v>
      </c>
      <c r="N106" s="11" t="n">
        <v>1</v>
      </c>
      <c r="O106" s="10" t="n">
        <v>1</v>
      </c>
      <c r="P106" s="10" t="s">
        <v>427</v>
      </c>
      <c r="Q106" s="10"/>
      <c r="R106" s="10" t="s">
        <v>428</v>
      </c>
      <c r="S106" s="10" t="s">
        <v>439</v>
      </c>
      <c r="T106" s="10" t="s">
        <v>443</v>
      </c>
      <c r="U106" s="10" t="s">
        <v>428</v>
      </c>
      <c r="V106" s="10" t="n">
        <v>1</v>
      </c>
      <c r="W106" s="10" t="n">
        <v>1</v>
      </c>
      <c r="X106" s="10" t="s">
        <v>428</v>
      </c>
      <c r="Y106" s="10" t="s">
        <v>428</v>
      </c>
    </row>
    <row r="107" customFormat="false" ht="15" hidden="false" customHeight="false" outlineLevel="0" collapsed="false">
      <c r="A107" s="10" t="n">
        <v>1995</v>
      </c>
      <c r="B107" s="10" t="s">
        <v>452</v>
      </c>
      <c r="C107" s="10" t="s">
        <v>260</v>
      </c>
      <c r="D107" s="10" t="s">
        <v>261</v>
      </c>
      <c r="E107" s="10" t="s">
        <v>441</v>
      </c>
      <c r="F107" s="10" t="n">
        <v>12</v>
      </c>
      <c r="G107" s="10" t="n">
        <v>0</v>
      </c>
      <c r="H107" s="10" t="n">
        <v>0</v>
      </c>
      <c r="I107" s="10" t="n">
        <v>12</v>
      </c>
      <c r="J107" s="11" t="n">
        <v>1</v>
      </c>
      <c r="K107" s="10" t="n">
        <v>7</v>
      </c>
      <c r="L107" s="10" t="n">
        <v>0</v>
      </c>
      <c r="M107" s="10" t="n">
        <v>0</v>
      </c>
      <c r="N107" s="11" t="n">
        <v>1</v>
      </c>
      <c r="O107" s="10" t="n">
        <v>1</v>
      </c>
      <c r="P107" s="10" t="s">
        <v>427</v>
      </c>
      <c r="Q107" s="10"/>
      <c r="R107" s="10" t="s">
        <v>428</v>
      </c>
      <c r="S107" s="10" t="s">
        <v>448</v>
      </c>
      <c r="T107" s="10" t="s">
        <v>443</v>
      </c>
      <c r="U107" s="10" t="s">
        <v>428</v>
      </c>
      <c r="V107" s="10" t="n">
        <v>1</v>
      </c>
      <c r="W107" s="10" t="n">
        <v>1</v>
      </c>
      <c r="X107" s="10" t="s">
        <v>428</v>
      </c>
      <c r="Y107" s="10" t="s">
        <v>428</v>
      </c>
    </row>
    <row r="108" customFormat="false" ht="15" hidden="false" customHeight="false" outlineLevel="0" collapsed="false">
      <c r="A108" s="10" t="n">
        <v>1996</v>
      </c>
      <c r="B108" s="10" t="s">
        <v>452</v>
      </c>
      <c r="C108" s="10" t="s">
        <v>260</v>
      </c>
      <c r="D108" s="10" t="s">
        <v>313</v>
      </c>
      <c r="E108" s="10" t="s">
        <v>454</v>
      </c>
      <c r="F108" s="10" t="n">
        <v>11</v>
      </c>
      <c r="G108" s="10" t="n">
        <v>2</v>
      </c>
      <c r="H108" s="10" t="n">
        <v>0</v>
      </c>
      <c r="I108" s="10" t="n">
        <v>13</v>
      </c>
      <c r="J108" s="11" t="n">
        <v>0.8462</v>
      </c>
      <c r="K108" s="10" t="n">
        <v>8</v>
      </c>
      <c r="L108" s="10" t="n">
        <v>0</v>
      </c>
      <c r="M108" s="10" t="n">
        <v>0</v>
      </c>
      <c r="N108" s="11" t="n">
        <v>1</v>
      </c>
      <c r="O108" s="10" t="n">
        <v>1</v>
      </c>
      <c r="P108" s="10" t="s">
        <v>427</v>
      </c>
      <c r="Q108" s="10" t="s">
        <v>455</v>
      </c>
      <c r="R108" s="10" t="s">
        <v>428</v>
      </c>
      <c r="S108" s="10" t="s">
        <v>439</v>
      </c>
      <c r="T108" s="10" t="s">
        <v>443</v>
      </c>
      <c r="U108" s="10" t="s">
        <v>428</v>
      </c>
      <c r="V108" s="10" t="n">
        <v>6</v>
      </c>
      <c r="W108" s="10" t="n">
        <v>6</v>
      </c>
      <c r="X108" s="10" t="s">
        <v>428</v>
      </c>
      <c r="Y108" s="10" t="s">
        <v>428</v>
      </c>
    </row>
    <row r="109" customFormat="false" ht="15" hidden="false" customHeight="false" outlineLevel="0" collapsed="false">
      <c r="A109" s="10" t="n">
        <v>1997</v>
      </c>
      <c r="B109" s="10" t="s">
        <v>452</v>
      </c>
      <c r="C109" s="10" t="s">
        <v>260</v>
      </c>
      <c r="D109" s="10" t="s">
        <v>313</v>
      </c>
      <c r="E109" s="10" t="s">
        <v>454</v>
      </c>
      <c r="F109" s="10" t="n">
        <v>13</v>
      </c>
      <c r="G109" s="10" t="n">
        <v>0</v>
      </c>
      <c r="H109" s="10" t="n">
        <v>0</v>
      </c>
      <c r="I109" s="10" t="n">
        <v>13</v>
      </c>
      <c r="J109" s="11" t="n">
        <v>1</v>
      </c>
      <c r="K109" s="10" t="n">
        <v>8</v>
      </c>
      <c r="L109" s="10" t="n">
        <v>0</v>
      </c>
      <c r="M109" s="10" t="n">
        <v>0</v>
      </c>
      <c r="N109" s="11" t="n">
        <v>1</v>
      </c>
      <c r="O109" s="10" t="n">
        <v>1</v>
      </c>
      <c r="P109" s="10" t="s">
        <v>427</v>
      </c>
      <c r="Q109" s="10" t="s">
        <v>455</v>
      </c>
      <c r="R109" s="10" t="s">
        <v>428</v>
      </c>
      <c r="S109" s="10" t="s">
        <v>439</v>
      </c>
      <c r="T109" s="10" t="s">
        <v>443</v>
      </c>
      <c r="U109" s="10" t="s">
        <v>428</v>
      </c>
      <c r="V109" s="10" t="n">
        <v>2</v>
      </c>
      <c r="W109" s="10" t="n">
        <v>1</v>
      </c>
      <c r="X109" s="10" t="s">
        <v>428</v>
      </c>
      <c r="Y109" s="10" t="s">
        <v>428</v>
      </c>
    </row>
    <row r="110" customFormat="false" ht="15" hidden="false" customHeight="false" outlineLevel="0" collapsed="false">
      <c r="A110" s="10" t="n">
        <v>1998</v>
      </c>
      <c r="B110" s="10" t="s">
        <v>452</v>
      </c>
      <c r="C110" s="10" t="s">
        <v>317</v>
      </c>
      <c r="D110" s="10" t="s">
        <v>313</v>
      </c>
      <c r="E110" s="10" t="s">
        <v>454</v>
      </c>
      <c r="F110" s="10" t="n">
        <v>9</v>
      </c>
      <c r="G110" s="10" t="n">
        <v>4</v>
      </c>
      <c r="H110" s="10" t="n">
        <v>0</v>
      </c>
      <c r="I110" s="10" t="n">
        <v>13</v>
      </c>
      <c r="J110" s="11" t="n">
        <v>0.6923</v>
      </c>
      <c r="K110" s="10" t="n">
        <v>5</v>
      </c>
      <c r="L110" s="10" t="n">
        <v>3</v>
      </c>
      <c r="M110" s="10" t="n">
        <v>0</v>
      </c>
      <c r="N110" s="11" t="n">
        <v>0.625</v>
      </c>
      <c r="O110" s="10" t="n">
        <v>2</v>
      </c>
      <c r="P110" s="10" t="s">
        <v>428</v>
      </c>
      <c r="Q110" s="10" t="s">
        <v>455</v>
      </c>
      <c r="R110" s="10" t="s">
        <v>428</v>
      </c>
      <c r="S110" s="10" t="s">
        <v>456</v>
      </c>
      <c r="T110" s="10" t="s">
        <v>437</v>
      </c>
      <c r="U110" s="10" t="s">
        <v>427</v>
      </c>
      <c r="V110" s="10" t="n">
        <v>19</v>
      </c>
      <c r="W110" s="10" t="n">
        <v>20</v>
      </c>
      <c r="X110" s="10" t="s">
        <v>428</v>
      </c>
      <c r="Y110" s="10" t="s">
        <v>428</v>
      </c>
    </row>
    <row r="111" customFormat="false" ht="15" hidden="false" customHeight="false" outlineLevel="0" collapsed="false">
      <c r="A111" s="10" t="n">
        <v>1999</v>
      </c>
      <c r="B111" s="10" t="s">
        <v>452</v>
      </c>
      <c r="C111" s="10" t="s">
        <v>317</v>
      </c>
      <c r="D111" s="10" t="s">
        <v>313</v>
      </c>
      <c r="E111" s="10" t="s">
        <v>454</v>
      </c>
      <c r="F111" s="10" t="n">
        <v>12</v>
      </c>
      <c r="G111" s="10" t="n">
        <v>1</v>
      </c>
      <c r="H111" s="10" t="n">
        <v>0</v>
      </c>
      <c r="I111" s="10" t="n">
        <v>13</v>
      </c>
      <c r="J111" s="11" t="n">
        <v>0.9231</v>
      </c>
      <c r="K111" s="10" t="n">
        <v>7</v>
      </c>
      <c r="L111" s="10" t="n">
        <v>1</v>
      </c>
      <c r="M111" s="10" t="n">
        <v>0</v>
      </c>
      <c r="N111" s="11" t="n">
        <v>0.875</v>
      </c>
      <c r="O111" s="10" t="n">
        <v>1</v>
      </c>
      <c r="P111" s="10" t="s">
        <v>427</v>
      </c>
      <c r="Q111" s="10" t="s">
        <v>455</v>
      </c>
      <c r="R111" s="10" t="s">
        <v>428</v>
      </c>
      <c r="S111" s="10" t="s">
        <v>448</v>
      </c>
      <c r="T111" s="10" t="s">
        <v>443</v>
      </c>
      <c r="U111" s="10" t="s">
        <v>428</v>
      </c>
      <c r="V111" s="10" t="n">
        <v>3</v>
      </c>
      <c r="W111" s="10" t="n">
        <v>2</v>
      </c>
      <c r="X111" s="10" t="s">
        <v>428</v>
      </c>
      <c r="Y111" s="10" t="s">
        <v>428</v>
      </c>
    </row>
    <row r="112" customFormat="false" ht="15" hidden="false" customHeight="false" outlineLevel="0" collapsed="false">
      <c r="A112" s="10" t="n">
        <v>2000</v>
      </c>
      <c r="B112" s="10" t="s">
        <v>457</v>
      </c>
      <c r="C112" s="10" t="s">
        <v>317</v>
      </c>
      <c r="D112" s="10" t="s">
        <v>313</v>
      </c>
      <c r="E112" s="10" t="s">
        <v>454</v>
      </c>
      <c r="F112" s="10" t="n">
        <v>10</v>
      </c>
      <c r="G112" s="10" t="n">
        <v>2</v>
      </c>
      <c r="H112" s="10" t="n">
        <v>0</v>
      </c>
      <c r="I112" s="10" t="n">
        <v>12</v>
      </c>
      <c r="J112" s="11" t="n">
        <v>0.8333</v>
      </c>
      <c r="K112" s="10" t="n">
        <v>6</v>
      </c>
      <c r="L112" s="10" t="n">
        <v>2</v>
      </c>
      <c r="M112" s="10" t="n">
        <v>0</v>
      </c>
      <c r="N112" s="11" t="n">
        <v>0.75</v>
      </c>
      <c r="O112" s="10" t="n">
        <v>1</v>
      </c>
      <c r="P112" s="10" t="s">
        <v>428</v>
      </c>
      <c r="Q112" s="10" t="s">
        <v>455</v>
      </c>
      <c r="R112" s="10" t="s">
        <v>428</v>
      </c>
      <c r="S112" s="10" t="s">
        <v>458</v>
      </c>
      <c r="T112" s="10" t="s">
        <v>443</v>
      </c>
      <c r="U112" s="10" t="s">
        <v>427</v>
      </c>
      <c r="V112" s="10" t="n">
        <v>8</v>
      </c>
      <c r="W112" s="10" t="n">
        <v>7</v>
      </c>
      <c r="X112" s="10" t="s">
        <v>428</v>
      </c>
      <c r="Y112" s="10" t="s">
        <v>428</v>
      </c>
    </row>
    <row r="113" customFormat="false" ht="15" hidden="false" customHeight="false" outlineLevel="0" collapsed="false">
      <c r="A113" s="10" t="n">
        <v>2001</v>
      </c>
      <c r="B113" s="10" t="s">
        <v>457</v>
      </c>
      <c r="C113" s="10" t="s">
        <v>317</v>
      </c>
      <c r="D113" s="10" t="s">
        <v>313</v>
      </c>
      <c r="E113" s="10" t="s">
        <v>454</v>
      </c>
      <c r="F113" s="10" t="n">
        <v>11</v>
      </c>
      <c r="G113" s="10" t="n">
        <v>2</v>
      </c>
      <c r="H113" s="10" t="n">
        <v>0</v>
      </c>
      <c r="I113" s="10" t="n">
        <v>13</v>
      </c>
      <c r="J113" s="11" t="n">
        <v>0.8462</v>
      </c>
      <c r="K113" s="10" t="n">
        <v>7</v>
      </c>
      <c r="L113" s="10" t="n">
        <v>1</v>
      </c>
      <c r="M113" s="10" t="n">
        <v>0</v>
      </c>
      <c r="N113" s="11" t="n">
        <v>0.875</v>
      </c>
      <c r="O113" s="10" t="n">
        <v>1</v>
      </c>
      <c r="P113" s="10" t="s">
        <v>428</v>
      </c>
      <c r="Q113" s="10" t="s">
        <v>455</v>
      </c>
      <c r="R113" s="10" t="s">
        <v>428</v>
      </c>
      <c r="S113" s="10" t="s">
        <v>436</v>
      </c>
      <c r="T113" s="10" t="s">
        <v>437</v>
      </c>
      <c r="U113" s="10" t="s">
        <v>428</v>
      </c>
      <c r="V113" s="10" t="n">
        <v>8</v>
      </c>
      <c r="W113" s="10" t="n">
        <v>7</v>
      </c>
      <c r="X113" s="10" t="s">
        <v>428</v>
      </c>
      <c r="Y113" s="10" t="s">
        <v>428</v>
      </c>
    </row>
    <row r="114" customFormat="false" ht="15" hidden="false" customHeight="false" outlineLevel="0" collapsed="false">
      <c r="A114" s="10" t="n">
        <v>2002</v>
      </c>
      <c r="B114" s="10" t="s">
        <v>457</v>
      </c>
      <c r="C114" s="10" t="s">
        <v>317</v>
      </c>
      <c r="D114" s="10" t="s">
        <v>313</v>
      </c>
      <c r="E114" s="10" t="s">
        <v>454</v>
      </c>
      <c r="F114" s="10" t="n">
        <v>7</v>
      </c>
      <c r="G114" s="10" t="n">
        <v>7</v>
      </c>
      <c r="H114" s="10" t="n">
        <v>0</v>
      </c>
      <c r="I114" s="10" t="n">
        <v>14</v>
      </c>
      <c r="J114" s="11" t="n">
        <v>0.5</v>
      </c>
      <c r="K114" s="10" t="n">
        <v>3</v>
      </c>
      <c r="L114" s="10" t="n">
        <v>5</v>
      </c>
      <c r="M114" s="10" t="n">
        <v>0</v>
      </c>
      <c r="N114" s="11" t="n">
        <v>0.375</v>
      </c>
      <c r="O114" s="10" t="n">
        <v>4</v>
      </c>
      <c r="P114" s="10" t="s">
        <v>427</v>
      </c>
      <c r="Q114" s="10" t="s">
        <v>455</v>
      </c>
      <c r="R114" s="10" t="s">
        <v>428</v>
      </c>
      <c r="S114" s="10" t="s">
        <v>459</v>
      </c>
      <c r="T114" s="10" t="s">
        <v>437</v>
      </c>
      <c r="U114" s="10" t="s">
        <v>427</v>
      </c>
      <c r="V114" s="10"/>
      <c r="W114" s="10"/>
      <c r="X114" s="10" t="s">
        <v>427</v>
      </c>
      <c r="Y114" s="10" t="s">
        <v>427</v>
      </c>
    </row>
    <row r="115" customFormat="false" ht="15" hidden="false" customHeight="false" outlineLevel="0" collapsed="false">
      <c r="A115" s="10" t="n">
        <v>2003</v>
      </c>
      <c r="B115" s="10" t="s">
        <v>457</v>
      </c>
      <c r="C115" s="10" t="s">
        <v>317</v>
      </c>
      <c r="D115" s="10" t="s">
        <v>313</v>
      </c>
      <c r="E115" s="10" t="s">
        <v>454</v>
      </c>
      <c r="F115" s="10" t="n">
        <v>10</v>
      </c>
      <c r="G115" s="10" t="n">
        <v>3</v>
      </c>
      <c r="H115" s="10" t="n">
        <v>0</v>
      </c>
      <c r="I115" s="10" t="n">
        <v>13</v>
      </c>
      <c r="J115" s="11" t="n">
        <v>0.7692</v>
      </c>
      <c r="K115" s="10" t="n">
        <v>5</v>
      </c>
      <c r="L115" s="10" t="n">
        <v>3</v>
      </c>
      <c r="M115" s="10" t="n">
        <v>0</v>
      </c>
      <c r="N115" s="11" t="n">
        <v>0.625</v>
      </c>
      <c r="O115" s="10" t="n">
        <v>2</v>
      </c>
      <c r="P115" s="10" t="s">
        <v>427</v>
      </c>
      <c r="Q115" s="10" t="s">
        <v>455</v>
      </c>
      <c r="R115" s="10" t="s">
        <v>428</v>
      </c>
      <c r="S115" s="10" t="s">
        <v>458</v>
      </c>
      <c r="T115" s="10" t="s">
        <v>443</v>
      </c>
      <c r="U115" s="10" t="s">
        <v>427</v>
      </c>
      <c r="V115" s="10" t="n">
        <v>19</v>
      </c>
      <c r="W115" s="10" t="n">
        <v>18</v>
      </c>
      <c r="X115" s="10" t="s">
        <v>428</v>
      </c>
      <c r="Y115" s="10" t="s">
        <v>428</v>
      </c>
    </row>
    <row r="116" customFormat="false" ht="15" hidden="false" customHeight="false" outlineLevel="0" collapsed="false">
      <c r="A116" s="10" t="n">
        <v>2004</v>
      </c>
      <c r="B116" s="10" t="s">
        <v>457</v>
      </c>
      <c r="C116" s="10" t="s">
        <v>338</v>
      </c>
      <c r="D116" s="10" t="s">
        <v>313</v>
      </c>
      <c r="E116" s="10" t="s">
        <v>454</v>
      </c>
      <c r="F116" s="10" t="n">
        <v>5</v>
      </c>
      <c r="G116" s="10" t="n">
        <v>6</v>
      </c>
      <c r="H116" s="10" t="n">
        <v>0</v>
      </c>
      <c r="I116" s="10" t="n">
        <v>11</v>
      </c>
      <c r="J116" s="11" t="n">
        <v>0.4545</v>
      </c>
      <c r="K116" s="10" t="n">
        <v>3</v>
      </c>
      <c r="L116" s="10" t="n">
        <v>5</v>
      </c>
      <c r="M116" s="10" t="n">
        <v>0</v>
      </c>
      <c r="N116" s="11" t="n">
        <v>0.375</v>
      </c>
      <c r="O116" s="10" t="n">
        <v>3</v>
      </c>
      <c r="P116" s="10" t="s">
        <v>427</v>
      </c>
      <c r="Q116" s="10" t="s">
        <v>455</v>
      </c>
      <c r="R116" s="10" t="s">
        <v>427</v>
      </c>
      <c r="S116" s="10"/>
      <c r="T116" s="10"/>
      <c r="U116" s="10" t="s">
        <v>427</v>
      </c>
      <c r="V116" s="10"/>
      <c r="W116" s="10"/>
      <c r="X116" s="10" t="s">
        <v>427</v>
      </c>
      <c r="Y116" s="10" t="s">
        <v>427</v>
      </c>
    </row>
    <row r="117" customFormat="false" ht="15" hidden="false" customHeight="false" outlineLevel="0" collapsed="false">
      <c r="A117" s="10" t="n">
        <v>2005</v>
      </c>
      <c r="B117" s="10" t="s">
        <v>457</v>
      </c>
      <c r="C117" s="10" t="s">
        <v>338</v>
      </c>
      <c r="D117" s="10" t="s">
        <v>313</v>
      </c>
      <c r="E117" s="10" t="s">
        <v>454</v>
      </c>
      <c r="F117" s="10" t="n">
        <v>8</v>
      </c>
      <c r="G117" s="10" t="n">
        <v>4</v>
      </c>
      <c r="H117" s="10" t="n">
        <v>0</v>
      </c>
      <c r="I117" s="10" t="n">
        <v>12</v>
      </c>
      <c r="J117" s="11" t="n">
        <v>0.6667</v>
      </c>
      <c r="K117" s="10" t="n">
        <v>4</v>
      </c>
      <c r="L117" s="10" t="n">
        <v>4</v>
      </c>
      <c r="M117" s="10" t="n">
        <v>0</v>
      </c>
      <c r="N117" s="11" t="n">
        <v>0.5</v>
      </c>
      <c r="O117" s="10" t="n">
        <v>2</v>
      </c>
      <c r="P117" s="10" t="s">
        <v>428</v>
      </c>
      <c r="Q117" s="10" t="s">
        <v>455</v>
      </c>
      <c r="R117" s="10" t="s">
        <v>428</v>
      </c>
      <c r="S117" s="10" t="s">
        <v>458</v>
      </c>
      <c r="T117" s="10" t="s">
        <v>443</v>
      </c>
      <c r="U117" s="10" t="s">
        <v>427</v>
      </c>
      <c r="V117" s="10" t="n">
        <v>24</v>
      </c>
      <c r="W117" s="10" t="n">
        <v>24</v>
      </c>
      <c r="X117" s="10" t="s">
        <v>428</v>
      </c>
      <c r="Y117" s="10" t="s">
        <v>428</v>
      </c>
    </row>
    <row r="118" customFormat="false" ht="15" hidden="false" customHeight="false" outlineLevel="0" collapsed="false">
      <c r="A118" s="10" t="n">
        <v>2006</v>
      </c>
      <c r="B118" s="10" t="s">
        <v>457</v>
      </c>
      <c r="C118" s="10" t="s">
        <v>338</v>
      </c>
      <c r="D118" s="10" t="s">
        <v>313</v>
      </c>
      <c r="E118" s="10" t="s">
        <v>454</v>
      </c>
      <c r="F118" s="10" t="n">
        <v>9</v>
      </c>
      <c r="G118" s="10" t="n">
        <v>5</v>
      </c>
      <c r="H118" s="10" t="n">
        <v>0</v>
      </c>
      <c r="I118" s="10" t="n">
        <v>14</v>
      </c>
      <c r="J118" s="11" t="n">
        <v>0.6429</v>
      </c>
      <c r="K118" s="10" t="n">
        <v>6</v>
      </c>
      <c r="L118" s="10" t="n">
        <v>2</v>
      </c>
      <c r="M118" s="10" t="n">
        <v>0</v>
      </c>
      <c r="N118" s="11" t="n">
        <v>0.75</v>
      </c>
      <c r="O118" s="10" t="n">
        <v>1</v>
      </c>
      <c r="P118" s="10" t="s">
        <v>427</v>
      </c>
      <c r="Q118" s="10" t="s">
        <v>455</v>
      </c>
      <c r="R118" s="10" t="s">
        <v>428</v>
      </c>
      <c r="S118" s="10" t="s">
        <v>444</v>
      </c>
      <c r="T118" s="10" t="s">
        <v>437</v>
      </c>
      <c r="U118" s="10" t="s">
        <v>428</v>
      </c>
      <c r="V118" s="10"/>
      <c r="W118" s="10"/>
      <c r="X118" s="10" t="s">
        <v>427</v>
      </c>
      <c r="Y118" s="10" t="s">
        <v>428</v>
      </c>
    </row>
    <row r="119" customFormat="false" ht="15" hidden="false" customHeight="false" outlineLevel="0" collapsed="false">
      <c r="A119" s="10" t="n">
        <v>2007</v>
      </c>
      <c r="B119" s="10" t="s">
        <v>457</v>
      </c>
      <c r="C119" s="10" t="s">
        <v>338</v>
      </c>
      <c r="D119" s="10" t="s">
        <v>313</v>
      </c>
      <c r="E119" s="10" t="s">
        <v>454</v>
      </c>
      <c r="F119" s="10" t="n">
        <v>5</v>
      </c>
      <c r="G119" s="10" t="n">
        <v>7</v>
      </c>
      <c r="H119" s="10" t="n">
        <v>0</v>
      </c>
      <c r="I119" s="10" t="n">
        <v>12</v>
      </c>
      <c r="J119" s="11" t="n">
        <v>0.4167</v>
      </c>
      <c r="K119" s="10" t="n">
        <v>2</v>
      </c>
      <c r="L119" s="10" t="n">
        <v>6</v>
      </c>
      <c r="M119" s="10" t="n">
        <v>0</v>
      </c>
      <c r="N119" s="11" t="n">
        <v>0.25</v>
      </c>
      <c r="O119" s="10" t="n">
        <v>5</v>
      </c>
      <c r="P119" s="10" t="s">
        <v>428</v>
      </c>
      <c r="Q119" s="10" t="s">
        <v>455</v>
      </c>
      <c r="R119" s="10" t="s">
        <v>427</v>
      </c>
      <c r="S119" s="10"/>
      <c r="T119" s="10"/>
      <c r="U119" s="10" t="s">
        <v>427</v>
      </c>
      <c r="V119" s="10"/>
      <c r="W119" s="10"/>
      <c r="X119" s="10" t="s">
        <v>427</v>
      </c>
      <c r="Y119" s="10" t="s">
        <v>427</v>
      </c>
    </row>
    <row r="120" customFormat="false" ht="15" hidden="false" customHeight="false" outlineLevel="0" collapsed="false">
      <c r="A120" s="10" t="n">
        <v>2008</v>
      </c>
      <c r="B120" s="10" t="s">
        <v>457</v>
      </c>
      <c r="C120" s="10" t="s">
        <v>350</v>
      </c>
      <c r="D120" s="10" t="s">
        <v>313</v>
      </c>
      <c r="E120" s="10" t="s">
        <v>454</v>
      </c>
      <c r="F120" s="10" t="n">
        <v>9</v>
      </c>
      <c r="G120" s="10" t="n">
        <v>4</v>
      </c>
      <c r="H120" s="10" t="n">
        <v>0</v>
      </c>
      <c r="I120" s="10" t="n">
        <v>13</v>
      </c>
      <c r="J120" s="11" t="n">
        <v>0.6923</v>
      </c>
      <c r="K120" s="10" t="n">
        <v>5</v>
      </c>
      <c r="L120" s="10" t="n">
        <v>3</v>
      </c>
      <c r="M120" s="10" t="n">
        <v>0</v>
      </c>
      <c r="N120" s="11" t="n">
        <v>0.625</v>
      </c>
      <c r="O120" s="10" t="n">
        <v>1</v>
      </c>
      <c r="P120" s="10" t="s">
        <v>428</v>
      </c>
      <c r="Q120" s="10" t="s">
        <v>455</v>
      </c>
      <c r="R120" s="10" t="s">
        <v>428</v>
      </c>
      <c r="S120" s="10" t="s">
        <v>460</v>
      </c>
      <c r="T120" s="10" t="s">
        <v>443</v>
      </c>
      <c r="U120" s="10" t="s">
        <v>427</v>
      </c>
      <c r="V120" s="10"/>
      <c r="W120" s="10"/>
      <c r="X120" s="10" t="s">
        <v>427</v>
      </c>
      <c r="Y120" s="10" t="s">
        <v>428</v>
      </c>
    </row>
    <row r="121" customFormat="false" ht="15" hidden="false" customHeight="false" outlineLevel="0" collapsed="false">
      <c r="A121" s="10" t="n">
        <v>2009</v>
      </c>
      <c r="B121" s="10" t="s">
        <v>457</v>
      </c>
      <c r="C121" s="10" t="s">
        <v>350</v>
      </c>
      <c r="D121" s="10" t="s">
        <v>313</v>
      </c>
      <c r="E121" s="10" t="s">
        <v>454</v>
      </c>
      <c r="F121" s="10" t="n">
        <v>10</v>
      </c>
      <c r="G121" s="10" t="n">
        <v>4</v>
      </c>
      <c r="H121" s="10" t="n">
        <v>0</v>
      </c>
      <c r="I121" s="10" t="n">
        <v>14</v>
      </c>
      <c r="J121" s="11" t="n">
        <v>0.7143</v>
      </c>
      <c r="K121" s="10" t="n">
        <v>6</v>
      </c>
      <c r="L121" s="10" t="n">
        <v>2</v>
      </c>
      <c r="M121" s="10" t="n">
        <v>0</v>
      </c>
      <c r="N121" s="11" t="n">
        <v>0.75</v>
      </c>
      <c r="O121" s="10" t="n">
        <v>1</v>
      </c>
      <c r="P121" s="10" t="s">
        <v>427</v>
      </c>
      <c r="Q121" s="10" t="s">
        <v>455</v>
      </c>
      <c r="R121" s="10" t="s">
        <v>428</v>
      </c>
      <c r="S121" s="10" t="s">
        <v>456</v>
      </c>
      <c r="T121" s="10" t="s">
        <v>443</v>
      </c>
      <c r="U121" s="10" t="s">
        <v>427</v>
      </c>
      <c r="V121" s="10" t="n">
        <v>14</v>
      </c>
      <c r="W121" s="10" t="n">
        <v>14</v>
      </c>
      <c r="X121" s="10" t="s">
        <v>428</v>
      </c>
      <c r="Y121" s="10" t="s">
        <v>428</v>
      </c>
    </row>
    <row r="122" customFormat="false" ht="15" hidden="false" customHeight="false" outlineLevel="0" collapsed="false">
      <c r="A122" s="10" t="n">
        <v>2010</v>
      </c>
      <c r="B122" s="10" t="s">
        <v>461</v>
      </c>
      <c r="C122" s="10" t="s">
        <v>350</v>
      </c>
      <c r="D122" s="10" t="s">
        <v>313</v>
      </c>
      <c r="E122" s="10" t="s">
        <v>454</v>
      </c>
      <c r="F122" s="10" t="n">
        <v>10</v>
      </c>
      <c r="G122" s="10" t="n">
        <v>4</v>
      </c>
      <c r="H122" s="10" t="n">
        <v>0</v>
      </c>
      <c r="I122" s="10" t="n">
        <v>14</v>
      </c>
      <c r="J122" s="11" t="n">
        <v>0.7143</v>
      </c>
      <c r="K122" s="10" t="n">
        <v>6</v>
      </c>
      <c r="L122" s="10" t="n">
        <v>2</v>
      </c>
      <c r="M122" s="10" t="n">
        <v>0</v>
      </c>
      <c r="N122" s="11" t="n">
        <v>0.75</v>
      </c>
      <c r="O122" s="10" t="n">
        <v>1</v>
      </c>
      <c r="P122" s="10" t="s">
        <v>428</v>
      </c>
      <c r="Q122" s="10" t="s">
        <v>455</v>
      </c>
      <c r="R122" s="10" t="s">
        <v>428</v>
      </c>
      <c r="S122" s="10" t="s">
        <v>456</v>
      </c>
      <c r="T122" s="10" t="s">
        <v>437</v>
      </c>
      <c r="U122" s="10" t="s">
        <v>427</v>
      </c>
      <c r="V122" s="10" t="n">
        <v>20</v>
      </c>
      <c r="W122" s="10" t="n">
        <v>19</v>
      </c>
      <c r="X122" s="10" t="s">
        <v>428</v>
      </c>
      <c r="Y122" s="10" t="s">
        <v>428</v>
      </c>
    </row>
    <row r="123" customFormat="false" ht="15" hidden="false" customHeight="false" outlineLevel="0" collapsed="false">
      <c r="A123" s="10" t="n">
        <v>2011</v>
      </c>
      <c r="B123" s="10" t="s">
        <v>461</v>
      </c>
      <c r="C123" s="10" t="s">
        <v>350</v>
      </c>
      <c r="D123" s="10" t="s">
        <v>357</v>
      </c>
      <c r="E123" s="10" t="s">
        <v>462</v>
      </c>
      <c r="F123" s="10" t="n">
        <v>9</v>
      </c>
      <c r="G123" s="10" t="n">
        <v>4</v>
      </c>
      <c r="H123" s="10" t="n">
        <v>0</v>
      </c>
      <c r="I123" s="10" t="n">
        <v>13</v>
      </c>
      <c r="J123" s="11" t="n">
        <v>0.6923</v>
      </c>
      <c r="K123" s="10" t="n">
        <v>5</v>
      </c>
      <c r="L123" s="10" t="n">
        <v>3</v>
      </c>
      <c r="M123" s="10" t="n">
        <v>0</v>
      </c>
      <c r="N123" s="11" t="n">
        <v>0.625</v>
      </c>
      <c r="O123" s="10" t="n">
        <v>3</v>
      </c>
      <c r="P123" s="10" t="s">
        <v>427</v>
      </c>
      <c r="Q123" s="10" t="s">
        <v>463</v>
      </c>
      <c r="R123" s="10" t="s">
        <v>428</v>
      </c>
      <c r="S123" s="10" t="s">
        <v>464</v>
      </c>
      <c r="T123" s="10" t="s">
        <v>437</v>
      </c>
      <c r="U123" s="10" t="s">
        <v>427</v>
      </c>
      <c r="V123" s="10" t="n">
        <v>24</v>
      </c>
      <c r="W123" s="10" t="n">
        <v>24</v>
      </c>
      <c r="X123" s="10" t="s">
        <v>428</v>
      </c>
      <c r="Y123" s="10" t="s">
        <v>428</v>
      </c>
    </row>
    <row r="124" customFormat="false" ht="15" hidden="false" customHeight="false" outlineLevel="0" collapsed="false">
      <c r="A124" s="10" t="n">
        <v>2012</v>
      </c>
      <c r="B124" s="10" t="s">
        <v>461</v>
      </c>
      <c r="C124" s="10" t="s">
        <v>350</v>
      </c>
      <c r="D124" s="10" t="s">
        <v>357</v>
      </c>
      <c r="E124" s="10" t="s">
        <v>462</v>
      </c>
      <c r="F124" s="10" t="n">
        <v>10</v>
      </c>
      <c r="G124" s="10" t="n">
        <v>4</v>
      </c>
      <c r="H124" s="10" t="n">
        <v>0</v>
      </c>
      <c r="I124" s="10" t="n">
        <v>14</v>
      </c>
      <c r="J124" s="11" t="n">
        <v>0.7143</v>
      </c>
      <c r="K124" s="10" t="n">
        <v>7</v>
      </c>
      <c r="L124" s="10" t="n">
        <v>1</v>
      </c>
      <c r="M124" s="10" t="n">
        <v>0</v>
      </c>
      <c r="N124" s="11" t="n">
        <v>0.875</v>
      </c>
      <c r="O124" s="10" t="n">
        <v>1</v>
      </c>
      <c r="P124" s="10" t="s">
        <v>427</v>
      </c>
      <c r="Q124" s="10" t="s">
        <v>463</v>
      </c>
      <c r="R124" s="10" t="s">
        <v>428</v>
      </c>
      <c r="S124" s="10" t="s">
        <v>464</v>
      </c>
      <c r="T124" s="10" t="s">
        <v>437</v>
      </c>
      <c r="U124" s="10" t="s">
        <v>427</v>
      </c>
      <c r="V124" s="10" t="n">
        <v>25</v>
      </c>
      <c r="W124" s="10" t="n">
        <v>23</v>
      </c>
      <c r="X124" s="10" t="s">
        <v>428</v>
      </c>
      <c r="Y124" s="10" t="s">
        <v>428</v>
      </c>
    </row>
    <row r="125" customFormat="false" ht="15" hidden="false" customHeight="false" outlineLevel="0" collapsed="false">
      <c r="A125" s="10" t="n">
        <v>2013</v>
      </c>
      <c r="B125" s="10" t="s">
        <v>461</v>
      </c>
      <c r="C125" s="10" t="s">
        <v>350</v>
      </c>
      <c r="D125" s="10" t="s">
        <v>357</v>
      </c>
      <c r="E125" s="10" t="s">
        <v>462</v>
      </c>
      <c r="F125" s="10" t="n">
        <v>9</v>
      </c>
      <c r="G125" s="10" t="n">
        <v>4</v>
      </c>
      <c r="H125" s="10" t="n">
        <v>0</v>
      </c>
      <c r="I125" s="10" t="n">
        <v>13</v>
      </c>
      <c r="J125" s="11" t="n">
        <v>0.6923</v>
      </c>
      <c r="K125" s="10" t="n">
        <v>5</v>
      </c>
      <c r="L125" s="10" t="n">
        <v>3</v>
      </c>
      <c r="M125" s="10" t="n">
        <v>0</v>
      </c>
      <c r="N125" s="11" t="n">
        <v>0.625</v>
      </c>
      <c r="O125" s="10" t="n">
        <v>2</v>
      </c>
      <c r="P125" s="10" t="s">
        <v>428</v>
      </c>
      <c r="Q125" s="10" t="s">
        <v>463</v>
      </c>
      <c r="R125" s="10" t="s">
        <v>428</v>
      </c>
      <c r="S125" s="10" t="s">
        <v>460</v>
      </c>
      <c r="T125" s="10" t="s">
        <v>443</v>
      </c>
      <c r="U125" s="10" t="s">
        <v>427</v>
      </c>
      <c r="V125" s="10"/>
      <c r="W125" s="10" t="n">
        <v>25</v>
      </c>
      <c r="X125" s="10" t="s">
        <v>427</v>
      </c>
      <c r="Y125" s="10" t="s">
        <v>428</v>
      </c>
    </row>
    <row r="126" customFormat="false" ht="15" hidden="false" customHeight="false" outlineLevel="0" collapsed="false">
      <c r="A126" s="10" t="n">
        <v>2014</v>
      </c>
      <c r="B126" s="10" t="s">
        <v>461</v>
      </c>
      <c r="C126" s="10" t="s">
        <v>350</v>
      </c>
      <c r="D126" s="10" t="s">
        <v>357</v>
      </c>
      <c r="E126" s="10" t="s">
        <v>462</v>
      </c>
      <c r="F126" s="10" t="n">
        <v>9</v>
      </c>
      <c r="G126" s="10" t="n">
        <v>4</v>
      </c>
      <c r="H126" s="10" t="n">
        <v>0</v>
      </c>
      <c r="I126" s="10" t="n">
        <v>13</v>
      </c>
      <c r="J126" s="11" t="n">
        <v>0.6923</v>
      </c>
      <c r="K126" s="10" t="n">
        <v>5</v>
      </c>
      <c r="L126" s="10" t="n">
        <v>3</v>
      </c>
      <c r="M126" s="10" t="n">
        <v>0</v>
      </c>
      <c r="N126" s="11" t="n">
        <v>0.625</v>
      </c>
      <c r="O126" s="10" t="n">
        <v>2</v>
      </c>
      <c r="P126" s="10" t="s">
        <v>428</v>
      </c>
      <c r="Q126" s="10" t="s">
        <v>465</v>
      </c>
      <c r="R126" s="10" t="s">
        <v>428</v>
      </c>
      <c r="S126" s="10" t="s">
        <v>456</v>
      </c>
      <c r="T126" s="10" t="s">
        <v>437</v>
      </c>
      <c r="U126" s="10" t="s">
        <v>427</v>
      </c>
      <c r="V126" s="10"/>
      <c r="W126" s="10"/>
      <c r="X126" s="10" t="s">
        <v>427</v>
      </c>
      <c r="Y126" s="10" t="s">
        <v>428</v>
      </c>
    </row>
    <row r="127" customFormat="false" ht="15" hidden="false" customHeight="false" outlineLevel="0" collapsed="false">
      <c r="A127" s="10" t="n">
        <v>2015</v>
      </c>
      <c r="B127" s="10" t="s">
        <v>461</v>
      </c>
      <c r="C127" s="10" t="s">
        <v>369</v>
      </c>
      <c r="D127" s="10" t="s">
        <v>357</v>
      </c>
      <c r="E127" s="10" t="s">
        <v>462</v>
      </c>
      <c r="F127" s="10" t="n">
        <v>6</v>
      </c>
      <c r="G127" s="10" t="n">
        <v>7</v>
      </c>
      <c r="H127" s="10" t="n">
        <v>0</v>
      </c>
      <c r="I127" s="10" t="n">
        <v>13</v>
      </c>
      <c r="J127" s="11" t="n">
        <v>0.4615</v>
      </c>
      <c r="K127" s="10" t="n">
        <v>3</v>
      </c>
      <c r="L127" s="10" t="n">
        <v>5</v>
      </c>
      <c r="M127" s="10" t="n">
        <v>0</v>
      </c>
      <c r="N127" s="11" t="n">
        <v>0.375</v>
      </c>
      <c r="O127" s="10" t="n">
        <v>4</v>
      </c>
      <c r="P127" s="10" t="s">
        <v>427</v>
      </c>
      <c r="Q127" s="10" t="s">
        <v>465</v>
      </c>
      <c r="R127" s="10" t="s">
        <v>428</v>
      </c>
      <c r="S127" s="10" t="s">
        <v>466</v>
      </c>
      <c r="T127" s="10" t="s">
        <v>443</v>
      </c>
      <c r="U127" s="10" t="s">
        <v>427</v>
      </c>
      <c r="V127" s="10"/>
      <c r="W127" s="10"/>
      <c r="X127" s="10" t="s">
        <v>427</v>
      </c>
      <c r="Y127" s="10" t="s">
        <v>427</v>
      </c>
    </row>
    <row r="128" customFormat="false" ht="15" hidden="false" customHeight="false" outlineLevel="0" collapsed="false">
      <c r="A128" s="10" t="n">
        <v>2016</v>
      </c>
      <c r="B128" s="10" t="s">
        <v>461</v>
      </c>
      <c r="C128" s="10" t="s">
        <v>369</v>
      </c>
      <c r="D128" s="10" t="s">
        <v>357</v>
      </c>
      <c r="E128" s="10" t="s">
        <v>462</v>
      </c>
      <c r="F128" s="10" t="n">
        <v>9</v>
      </c>
      <c r="G128" s="10" t="n">
        <v>4</v>
      </c>
      <c r="H128" s="10" t="n">
        <v>0</v>
      </c>
      <c r="I128" s="10" t="n">
        <v>13</v>
      </c>
      <c r="J128" s="11" t="n">
        <v>0.6923</v>
      </c>
      <c r="K128" s="10" t="n">
        <v>6</v>
      </c>
      <c r="L128" s="10" t="n">
        <v>3</v>
      </c>
      <c r="M128" s="10" t="n">
        <v>0</v>
      </c>
      <c r="N128" s="11" t="n">
        <v>0.6667</v>
      </c>
      <c r="O128" s="10" t="n">
        <v>2</v>
      </c>
      <c r="P128" s="10" t="s">
        <v>428</v>
      </c>
      <c r="Q128" s="10" t="s">
        <v>465</v>
      </c>
      <c r="R128" s="10" t="s">
        <v>428</v>
      </c>
      <c r="S128" s="10" t="s">
        <v>467</v>
      </c>
      <c r="T128" s="10" t="s">
        <v>437</v>
      </c>
      <c r="U128" s="10" t="s">
        <v>427</v>
      </c>
      <c r="V128" s="10"/>
      <c r="W128" s="10"/>
      <c r="X128" s="10" t="s">
        <v>427</v>
      </c>
      <c r="Y128" s="10" t="s">
        <v>428</v>
      </c>
    </row>
    <row r="129" customFormat="false" ht="15" hidden="false" customHeight="false" outlineLevel="0" collapsed="false">
      <c r="A129" s="10" t="n">
        <v>2017</v>
      </c>
      <c r="B129" s="10" t="s">
        <v>461</v>
      </c>
      <c r="C129" s="10" t="s">
        <v>369</v>
      </c>
      <c r="D129" s="10" t="s">
        <v>357</v>
      </c>
      <c r="E129" s="10" t="s">
        <v>462</v>
      </c>
      <c r="F129" s="10" t="n">
        <v>4</v>
      </c>
      <c r="G129" s="10" t="n">
        <v>8</v>
      </c>
      <c r="H129" s="10" t="n">
        <v>0</v>
      </c>
      <c r="I129" s="10" t="n">
        <v>12</v>
      </c>
      <c r="J129" s="11" t="n">
        <v>0.3333</v>
      </c>
      <c r="K129" s="10" t="n">
        <v>3</v>
      </c>
      <c r="L129" s="10" t="n">
        <v>6</v>
      </c>
      <c r="M129" s="10" t="n">
        <v>0</v>
      </c>
      <c r="N129" s="11" t="n">
        <v>0.3333</v>
      </c>
      <c r="O129" s="10" t="n">
        <v>5</v>
      </c>
      <c r="P129" s="10" t="s">
        <v>427</v>
      </c>
      <c r="Q129" s="10" t="s">
        <v>465</v>
      </c>
      <c r="R129" s="10" t="s">
        <v>427</v>
      </c>
      <c r="S129" s="10"/>
      <c r="T129" s="10"/>
      <c r="U129" s="10" t="s">
        <v>427</v>
      </c>
      <c r="V129" s="10"/>
      <c r="W129" s="10"/>
      <c r="X129" s="10" t="s">
        <v>427</v>
      </c>
      <c r="Y129" s="10" t="s">
        <v>427</v>
      </c>
    </row>
    <row r="130" customFormat="false" ht="15" hidden="false" customHeight="false" outlineLevel="0" collapsed="false">
      <c r="A130" s="10" t="n">
        <v>2018</v>
      </c>
      <c r="B130" s="10" t="s">
        <v>461</v>
      </c>
      <c r="C130" s="10" t="s">
        <v>379</v>
      </c>
      <c r="D130" s="10" t="s">
        <v>357</v>
      </c>
      <c r="E130" s="10" t="s">
        <v>462</v>
      </c>
      <c r="F130" s="10" t="n">
        <v>4</v>
      </c>
      <c r="G130" s="10" t="n">
        <v>8</v>
      </c>
      <c r="H130" s="10" t="n">
        <v>0</v>
      </c>
      <c r="I130" s="10" t="n">
        <v>12</v>
      </c>
      <c r="J130" s="11" t="n">
        <v>0.3333</v>
      </c>
      <c r="K130" s="10" t="n">
        <v>3</v>
      </c>
      <c r="L130" s="10" t="n">
        <v>6</v>
      </c>
      <c r="M130" s="10" t="n">
        <v>0</v>
      </c>
      <c r="N130" s="11" t="n">
        <v>0.3333</v>
      </c>
      <c r="O130" s="10" t="n">
        <v>5</v>
      </c>
      <c r="P130" s="10" t="s">
        <v>428</v>
      </c>
      <c r="Q130" s="10" t="s">
        <v>465</v>
      </c>
      <c r="R130" s="10" t="s">
        <v>427</v>
      </c>
      <c r="S130" s="10"/>
      <c r="T130" s="10"/>
      <c r="U130" s="10" t="s">
        <v>427</v>
      </c>
      <c r="V130" s="10"/>
      <c r="W130" s="10"/>
      <c r="X130" s="10" t="s">
        <v>427</v>
      </c>
      <c r="Y130" s="10" t="s">
        <v>427</v>
      </c>
    </row>
    <row r="131" customFormat="false" ht="15" hidden="false" customHeight="false" outlineLevel="0" collapsed="false">
      <c r="A131" s="10" t="n">
        <v>2019</v>
      </c>
      <c r="B131" s="10" t="s">
        <v>461</v>
      </c>
      <c r="C131" s="10" t="s">
        <v>379</v>
      </c>
      <c r="D131" s="10" t="s">
        <v>357</v>
      </c>
      <c r="E131" s="10" t="s">
        <v>462</v>
      </c>
      <c r="F131" s="10" t="n">
        <v>5</v>
      </c>
      <c r="G131" s="10" t="n">
        <v>7</v>
      </c>
      <c r="H131" s="10" t="n">
        <v>0</v>
      </c>
      <c r="I131" s="10" t="n">
        <v>12</v>
      </c>
      <c r="J131" s="11" t="n">
        <v>0.4167</v>
      </c>
      <c r="K131" s="10" t="n">
        <v>3</v>
      </c>
      <c r="L131" s="10" t="n">
        <v>6</v>
      </c>
      <c r="M131" s="10" t="n">
        <v>0</v>
      </c>
      <c r="N131" s="11" t="n">
        <v>0.3333</v>
      </c>
      <c r="O131" s="10" t="n">
        <v>5</v>
      </c>
      <c r="P131" s="10" t="s">
        <v>428</v>
      </c>
      <c r="Q131" s="10" t="s">
        <v>465</v>
      </c>
      <c r="R131" s="10" t="s">
        <v>427</v>
      </c>
      <c r="S131" s="10"/>
      <c r="T131" s="10"/>
      <c r="U131" s="10" t="s">
        <v>427</v>
      </c>
      <c r="V131" s="10"/>
      <c r="W131" s="10"/>
      <c r="X131" s="10" t="s">
        <v>427</v>
      </c>
      <c r="Y131" s="10" t="s">
        <v>427</v>
      </c>
    </row>
    <row r="132" customFormat="false" ht="15" hidden="false" customHeight="false" outlineLevel="0" collapsed="false">
      <c r="A132" s="10" t="n">
        <v>2020</v>
      </c>
      <c r="B132" s="10" t="s">
        <v>468</v>
      </c>
      <c r="C132" s="10" t="s">
        <v>379</v>
      </c>
      <c r="D132" s="10" t="s">
        <v>357</v>
      </c>
      <c r="E132" s="10" t="s">
        <v>462</v>
      </c>
      <c r="F132" s="10" t="n">
        <v>3</v>
      </c>
      <c r="G132" s="10" t="n">
        <v>5</v>
      </c>
      <c r="H132" s="10" t="n">
        <v>0</v>
      </c>
      <c r="I132" s="10" t="n">
        <v>8</v>
      </c>
      <c r="J132" s="11" t="n">
        <v>0.375</v>
      </c>
      <c r="K132" s="10" t="n">
        <v>3</v>
      </c>
      <c r="L132" s="10" t="n">
        <v>5</v>
      </c>
      <c r="M132" s="10" t="n">
        <v>0</v>
      </c>
      <c r="N132" s="11" t="n">
        <v>0.375</v>
      </c>
      <c r="O132" s="10" t="n">
        <v>5</v>
      </c>
      <c r="P132" s="10" t="s">
        <v>427</v>
      </c>
      <c r="Q132" s="10" t="s">
        <v>465</v>
      </c>
      <c r="R132" s="10" t="s">
        <v>427</v>
      </c>
      <c r="S132" s="10"/>
      <c r="T132" s="10"/>
      <c r="U132" s="10" t="s">
        <v>427</v>
      </c>
      <c r="V132" s="10"/>
      <c r="W132" s="10"/>
      <c r="X132" s="10" t="s">
        <v>427</v>
      </c>
      <c r="Y132" s="10" t="s">
        <v>427</v>
      </c>
    </row>
    <row r="133" customFormat="false" ht="15" hidden="false" customHeight="false" outlineLevel="0" collapsed="false">
      <c r="A133" s="10" t="n">
        <v>2021</v>
      </c>
      <c r="B133" s="10" t="s">
        <v>468</v>
      </c>
      <c r="C133" s="10" t="s">
        <v>379</v>
      </c>
      <c r="D133" s="10" t="s">
        <v>357</v>
      </c>
      <c r="E133" s="10" t="s">
        <v>462</v>
      </c>
      <c r="F133" s="10" t="n">
        <v>3</v>
      </c>
      <c r="G133" s="10" t="n">
        <v>9</v>
      </c>
      <c r="H133" s="10" t="n">
        <v>0</v>
      </c>
      <c r="I133" s="10" t="n">
        <v>12</v>
      </c>
      <c r="J133" s="11" t="n">
        <v>0.25</v>
      </c>
      <c r="K133" s="10" t="n">
        <v>1</v>
      </c>
      <c r="L133" s="10" t="n">
        <v>8</v>
      </c>
      <c r="M133" s="10" t="n">
        <v>0</v>
      </c>
      <c r="N133" s="11" t="n">
        <v>0.1111</v>
      </c>
      <c r="O133" s="10" t="n">
        <v>6</v>
      </c>
      <c r="P133" s="10" t="s">
        <v>428</v>
      </c>
      <c r="Q133" s="10" t="s">
        <v>465</v>
      </c>
      <c r="R133" s="10" t="s">
        <v>427</v>
      </c>
      <c r="S133" s="10"/>
      <c r="T133" s="10"/>
      <c r="U133" s="10" t="s">
        <v>427</v>
      </c>
      <c r="V133" s="10"/>
      <c r="W133" s="10"/>
      <c r="X133" s="10" t="s">
        <v>427</v>
      </c>
      <c r="Y133" s="10" t="s">
        <v>427</v>
      </c>
    </row>
    <row r="134" customFormat="false" ht="15" hidden="false" customHeight="false" outlineLevel="0" collapsed="false">
      <c r="A134" s="10" t="n">
        <v>2022</v>
      </c>
      <c r="B134" s="10" t="s">
        <v>468</v>
      </c>
      <c r="C134" s="10" t="s">
        <v>379</v>
      </c>
      <c r="D134" s="10" t="s">
        <v>357</v>
      </c>
      <c r="E134" s="10" t="s">
        <v>462</v>
      </c>
      <c r="F134" s="10" t="n">
        <v>4</v>
      </c>
      <c r="G134" s="10" t="n">
        <v>8</v>
      </c>
      <c r="H134" s="10" t="n">
        <v>0</v>
      </c>
      <c r="I134" s="10" t="n">
        <v>12</v>
      </c>
      <c r="J134" s="11" t="n">
        <v>0.3333</v>
      </c>
      <c r="K134" s="10" t="n">
        <v>3</v>
      </c>
      <c r="L134" s="10" t="n">
        <v>6</v>
      </c>
      <c r="M134" s="10" t="n">
        <v>0</v>
      </c>
      <c r="N134" s="11" t="n">
        <v>0.3333</v>
      </c>
      <c r="O134" s="10" t="n">
        <v>6</v>
      </c>
      <c r="P134" s="10" t="s">
        <v>427</v>
      </c>
      <c r="Q134" s="10" t="s">
        <v>465</v>
      </c>
      <c r="R134" s="10" t="s">
        <v>427</v>
      </c>
      <c r="S134" s="10"/>
      <c r="T134" s="10"/>
      <c r="U134" s="10" t="s">
        <v>427</v>
      </c>
      <c r="V134" s="10"/>
      <c r="W134" s="10"/>
      <c r="X134" s="10" t="s">
        <v>427</v>
      </c>
      <c r="Y134" s="10" t="s">
        <v>427</v>
      </c>
    </row>
    <row r="135" customFormat="false" ht="15" hidden="false" customHeight="false" outlineLevel="0" collapsed="false">
      <c r="A135" s="10" t="n">
        <v>2023</v>
      </c>
      <c r="B135" s="10" t="s">
        <v>468</v>
      </c>
      <c r="C135" s="10" t="s">
        <v>390</v>
      </c>
      <c r="D135" s="10" t="s">
        <v>357</v>
      </c>
      <c r="E135" s="10" t="s">
        <v>462</v>
      </c>
      <c r="F135" s="10" t="n">
        <v>5</v>
      </c>
      <c r="G135" s="10" t="n">
        <v>7</v>
      </c>
      <c r="H135" s="10" t="n">
        <v>0</v>
      </c>
      <c r="I135" s="10" t="n">
        <v>12</v>
      </c>
      <c r="J135" s="11" t="n">
        <v>0.4167</v>
      </c>
      <c r="K135" s="10" t="n">
        <v>3</v>
      </c>
      <c r="L135" s="10" t="n">
        <v>6</v>
      </c>
      <c r="M135" s="10" t="n">
        <v>0</v>
      </c>
      <c r="N135" s="11" t="n">
        <v>0.3333</v>
      </c>
      <c r="O135" s="10" t="n">
        <v>4</v>
      </c>
      <c r="P135" s="10" t="s">
        <v>428</v>
      </c>
      <c r="Q135" s="10" t="s">
        <v>465</v>
      </c>
      <c r="R135" s="10" t="s">
        <v>427</v>
      </c>
      <c r="S135" s="10"/>
      <c r="T135" s="10"/>
      <c r="U135" s="10" t="s">
        <v>427</v>
      </c>
      <c r="V135" s="10"/>
      <c r="W135" s="10"/>
      <c r="X135" s="10" t="s">
        <v>427</v>
      </c>
      <c r="Y135" s="10" t="s">
        <v>427</v>
      </c>
    </row>
    <row r="136" customFormat="false" ht="15" hidden="false" customHeight="false" outlineLevel="0" collapsed="false">
      <c r="A136" s="10" t="n">
        <v>2024</v>
      </c>
      <c r="B136" s="10" t="s">
        <v>468</v>
      </c>
      <c r="C136" s="10" t="s">
        <v>390</v>
      </c>
      <c r="D136" s="10" t="s">
        <v>357</v>
      </c>
      <c r="E136" s="10" t="s">
        <v>462</v>
      </c>
      <c r="F136" s="10" t="n">
        <v>7</v>
      </c>
      <c r="G136" s="10" t="n">
        <v>6</v>
      </c>
      <c r="H136" s="10" t="n">
        <v>0</v>
      </c>
      <c r="I136" s="10" t="n">
        <v>13</v>
      </c>
      <c r="J136" s="11" t="n">
        <v>0.5385</v>
      </c>
      <c r="K136" s="10" t="n">
        <v>3</v>
      </c>
      <c r="L136" s="10" t="n">
        <v>6</v>
      </c>
      <c r="M136" s="10" t="n">
        <v>0</v>
      </c>
      <c r="N136" s="11" t="n">
        <v>0.3333</v>
      </c>
      <c r="O136" s="10" t="n">
        <v>12</v>
      </c>
      <c r="P136" s="10" t="s">
        <v>428</v>
      </c>
      <c r="Q136" s="10"/>
      <c r="R136" s="10" t="s">
        <v>428</v>
      </c>
      <c r="S136" s="10" t="s">
        <v>469</v>
      </c>
      <c r="T136" s="10" t="s">
        <v>443</v>
      </c>
      <c r="U136" s="10" t="s">
        <v>427</v>
      </c>
      <c r="V136" s="10"/>
      <c r="W136" s="10"/>
      <c r="X136" s="10" t="s">
        <v>427</v>
      </c>
      <c r="Y136" s="10" t="s">
        <v>428</v>
      </c>
    </row>
    <row r="137" customFormat="false" ht="15" hidden="false" customHeight="false" outlineLevel="0" collapsed="false">
      <c r="A137" s="10" t="n">
        <v>2025</v>
      </c>
      <c r="B137" s="10" t="s">
        <v>468</v>
      </c>
      <c r="C137" s="10" t="s">
        <v>390</v>
      </c>
      <c r="D137" s="10" t="s">
        <v>357</v>
      </c>
      <c r="E137" s="10" t="s">
        <v>462</v>
      </c>
      <c r="F137" s="10" t="n">
        <v>7</v>
      </c>
      <c r="G137" s="10" t="n">
        <v>6</v>
      </c>
      <c r="H137" s="10" t="n">
        <v>0</v>
      </c>
      <c r="I137" s="10" t="n">
        <v>13</v>
      </c>
      <c r="J137" s="11" t="n">
        <v>0.5385</v>
      </c>
      <c r="K137" s="10" t="n">
        <v>4</v>
      </c>
      <c r="L137" s="10" t="n">
        <v>5</v>
      </c>
      <c r="M137" s="10" t="n">
        <v>0</v>
      </c>
      <c r="N137" s="11" t="n">
        <v>0.4444</v>
      </c>
      <c r="O137" s="10" t="n">
        <v>10</v>
      </c>
      <c r="P137" s="10" t="s">
        <v>428</v>
      </c>
      <c r="Q137" s="10"/>
      <c r="R137" s="10" t="s">
        <v>428</v>
      </c>
      <c r="S137" s="10" t="s">
        <v>470</v>
      </c>
      <c r="T137" s="10" t="s">
        <v>437</v>
      </c>
      <c r="U137" s="10" t="s">
        <v>427</v>
      </c>
      <c r="V137" s="10"/>
      <c r="W137" s="10"/>
      <c r="X137" s="10" t="s">
        <v>427</v>
      </c>
      <c r="Y137" s="10"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0"/>
  </cols>
  <sheetData>
    <row r="1" customFormat="false" ht="15" hidden="false" customHeight="false" outlineLevel="0" collapsed="false">
      <c r="A1" s="7" t="s">
        <v>471</v>
      </c>
      <c r="B1" s="7" t="s">
        <v>472</v>
      </c>
    </row>
    <row r="2" customFormat="false" ht="15" hidden="false" customHeight="false" outlineLevel="0" collapsed="false">
      <c r="A2" s="8" t="n">
        <v>1</v>
      </c>
      <c r="B2" s="12" t="s">
        <v>473</v>
      </c>
    </row>
    <row r="3" customFormat="false" ht="15" hidden="false" customHeight="false" outlineLevel="0" collapsed="false">
      <c r="A3" s="8" t="n">
        <v>2</v>
      </c>
      <c r="B3" s="12" t="s">
        <v>474</v>
      </c>
    </row>
    <row r="4" customFormat="false" ht="15" hidden="false" customHeight="false" outlineLevel="0" collapsed="false">
      <c r="A4" s="8" t="n">
        <v>3</v>
      </c>
      <c r="B4" s="12" t="s">
        <v>475</v>
      </c>
    </row>
    <row r="5" customFormat="false" ht="15" hidden="false" customHeight="false" outlineLevel="0" collapsed="false">
      <c r="A5" s="8" t="n">
        <v>4</v>
      </c>
      <c r="B5" s="12" t="s">
        <v>476</v>
      </c>
    </row>
    <row r="6" customFormat="false" ht="15" hidden="false" customHeight="false" outlineLevel="0" collapsed="false">
      <c r="A6" s="8" t="n">
        <v>5</v>
      </c>
      <c r="B6" s="12" t="s">
        <v>477</v>
      </c>
    </row>
    <row r="7" customFormat="false" ht="15" hidden="false" customHeight="false" outlineLevel="0" collapsed="false">
      <c r="A7" s="8" t="n">
        <v>6</v>
      </c>
      <c r="B7" s="12" t="s">
        <v>478</v>
      </c>
    </row>
    <row r="8" customFormat="false" ht="15" hidden="false" customHeight="false" outlineLevel="0" collapsed="false">
      <c r="A8" s="8" t="n">
        <v>7</v>
      </c>
      <c r="B8" s="12" t="s">
        <v>479</v>
      </c>
    </row>
    <row r="9" customFormat="false" ht="15" hidden="false" customHeight="false" outlineLevel="0" collapsed="false">
      <c r="A9" s="8" t="n">
        <v>8</v>
      </c>
      <c r="B9" s="12" t="s">
        <v>480</v>
      </c>
    </row>
    <row r="10" customFormat="false" ht="23.85" hidden="false" customHeight="false" outlineLevel="0" collapsed="false">
      <c r="A10" s="8" t="n">
        <v>9</v>
      </c>
      <c r="B10" s="12" t="s">
        <v>481</v>
      </c>
    </row>
    <row r="11" customFormat="false" ht="15" hidden="false" customHeight="false" outlineLevel="0" collapsed="false">
      <c r="A11" s="8" t="n">
        <v>10</v>
      </c>
      <c r="B11" s="12" t="s">
        <v>482</v>
      </c>
    </row>
    <row r="12" customFormat="false" ht="15" hidden="false" customHeight="false" outlineLevel="0" collapsed="false">
      <c r="A12" s="8" t="n">
        <v>11</v>
      </c>
      <c r="B12" s="12"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 collapsed="false" customWidth="true" hidden="false" outlineLevel="0" max="13" min="12" style="0" width="9"/>
    <col collapsed="false" customWidth="true" hidden="false" outlineLevel="0" max="14" min="14" style="0" width="12"/>
  </cols>
  <sheetData>
    <row r="1" customFormat="false" ht="19.7" hidden="false" customHeight="false" outlineLevel="0" collapsed="false">
      <c r="A1" s="13" t="s">
        <v>484</v>
      </c>
    </row>
    <row r="2" customFormat="false" ht="15" hidden="false" customHeight="true" outlineLevel="0" collapsed="false">
      <c r="A2" s="14" t="s">
        <v>485</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23.85" hidden="false" customHeight="false" outlineLevel="0" collapsed="false">
      <c r="L4" s="7" t="s">
        <v>402</v>
      </c>
      <c r="M4" s="7" t="s">
        <v>486</v>
      </c>
      <c r="N4" s="7" t="s">
        <v>487</v>
      </c>
    </row>
    <row r="5" customFormat="false" ht="15" hidden="false" customHeight="false" outlineLevel="0" collapsed="false">
      <c r="L5" s="8" t="n">
        <f aca="false">Clean_Data!A2</f>
        <v>1890</v>
      </c>
      <c r="M5" s="15" t="n">
        <f aca="false">Clean_Data!J2</f>
        <v>1</v>
      </c>
      <c r="N5" s="15"/>
    </row>
    <row r="6" customFormat="false" ht="15" hidden="false" customHeight="false" outlineLevel="0" collapsed="false">
      <c r="L6" s="8" t="n">
        <f aca="false">Clean_Data!A3</f>
        <v>1891</v>
      </c>
      <c r="M6" s="15" t="n">
        <f aca="false">Clean_Data!J3</f>
        <v>0.5</v>
      </c>
      <c r="N6" s="15"/>
    </row>
    <row r="7" customFormat="false" ht="15" hidden="false" customHeight="false" outlineLevel="0" collapsed="false">
      <c r="L7" s="8" t="n">
        <f aca="false">Clean_Data!A4</f>
        <v>1892</v>
      </c>
      <c r="M7" s="15" t="n">
        <f aca="false">Clean_Data!J4</f>
        <v>0.5</v>
      </c>
      <c r="N7" s="15"/>
    </row>
    <row r="8" customFormat="false" ht="15" hidden="false" customHeight="false" outlineLevel="0" collapsed="false">
      <c r="L8" s="8" t="n">
        <f aca="false">Clean_Data!A5</f>
        <v>1893</v>
      </c>
      <c r="M8" s="15" t="n">
        <f aca="false">Clean_Data!J5</f>
        <v>0.5833</v>
      </c>
      <c r="N8" s="15"/>
    </row>
    <row r="9" customFormat="false" ht="15" hidden="false" customHeight="false" outlineLevel="0" collapsed="false">
      <c r="L9" s="8" t="n">
        <f aca="false">Clean_Data!A6</f>
        <v>1894</v>
      </c>
      <c r="M9" s="15" t="n">
        <f aca="false">Clean_Data!J6</f>
        <v>0.75</v>
      </c>
      <c r="N9" s="15"/>
    </row>
    <row r="10" customFormat="false" ht="15" hidden="false" customHeight="false" outlineLevel="0" collapsed="false">
      <c r="L10" s="8" t="n">
        <f aca="false">Clean_Data!A7</f>
        <v>1895</v>
      </c>
      <c r="M10" s="15" t="n">
        <f aca="false">Clean_Data!J7</f>
        <v>0.6667</v>
      </c>
      <c r="N10" s="15"/>
    </row>
    <row r="11" customFormat="false" ht="15" hidden="false" customHeight="false" outlineLevel="0" collapsed="false">
      <c r="L11" s="8" t="n">
        <f aca="false">Clean_Data!A8</f>
        <v>1896</v>
      </c>
      <c r="M11" s="15" t="n">
        <f aca="false">Clean_Data!J8</f>
        <v>0.65</v>
      </c>
      <c r="N11" s="15"/>
    </row>
    <row r="12" customFormat="false" ht="15" hidden="false" customHeight="false" outlineLevel="0" collapsed="false">
      <c r="L12" s="8" t="n">
        <f aca="false">Clean_Data!A9</f>
        <v>1897</v>
      </c>
      <c r="M12" s="15" t="n">
        <f aca="false">Clean_Data!J9</f>
        <v>0.8333</v>
      </c>
      <c r="N12" s="15"/>
    </row>
    <row r="13" customFormat="false" ht="15" hidden="false" customHeight="false" outlineLevel="0" collapsed="false">
      <c r="L13" s="8" t="n">
        <f aca="false">Clean_Data!A10</f>
        <v>1898</v>
      </c>
      <c r="M13" s="15" t="n">
        <f aca="false">Clean_Data!J10</f>
        <v>0.7273</v>
      </c>
      <c r="N13" s="15"/>
    </row>
    <row r="14" customFormat="false" ht="15" hidden="false" customHeight="false" outlineLevel="0" collapsed="false">
      <c r="L14" s="8" t="n">
        <f aca="false">Clean_Data!A11</f>
        <v>1899</v>
      </c>
      <c r="M14" s="15" t="n">
        <f aca="false">Clean_Data!J11</f>
        <v>0.1667</v>
      </c>
      <c r="N14" s="15" t="n">
        <f aca="false">AVERAGE(M5:M14)</f>
        <v>0.63773</v>
      </c>
    </row>
    <row r="15" customFormat="false" ht="15" hidden="false" customHeight="false" outlineLevel="0" collapsed="false">
      <c r="L15" s="8" t="n">
        <f aca="false">Clean_Data!A12</f>
        <v>1900</v>
      </c>
      <c r="M15" s="15" t="n">
        <f aca="false">Clean_Data!J12</f>
        <v>0.8125</v>
      </c>
      <c r="N15" s="15" t="n">
        <f aca="false">AVERAGE(M6:M15)</f>
        <v>0.61898</v>
      </c>
    </row>
    <row r="16" customFormat="false" ht="15" hidden="false" customHeight="false" outlineLevel="0" collapsed="false">
      <c r="L16" s="8" t="n">
        <f aca="false">Clean_Data!A13</f>
        <v>1901</v>
      </c>
      <c r="M16" s="15" t="n">
        <f aca="false">Clean_Data!J13</f>
        <v>0.75</v>
      </c>
      <c r="N16" s="15" t="n">
        <f aca="false">AVERAGE(M7:M16)</f>
        <v>0.64398</v>
      </c>
    </row>
    <row r="17" customFormat="false" ht="15" hidden="false" customHeight="false" outlineLevel="0" collapsed="false">
      <c r="L17" s="8" t="n">
        <f aca="false">Clean_Data!A14</f>
        <v>1902</v>
      </c>
      <c r="M17" s="15" t="n">
        <f aca="false">Clean_Data!J14</f>
        <v>1</v>
      </c>
      <c r="N17" s="15" t="n">
        <f aca="false">AVERAGE(M8:M17)</f>
        <v>0.69398</v>
      </c>
    </row>
    <row r="18" customFormat="false" ht="15" hidden="false" customHeight="false" outlineLevel="0" collapsed="false">
      <c r="L18" s="8" t="n">
        <f aca="false">Clean_Data!A15</f>
        <v>1903</v>
      </c>
      <c r="M18" s="15" t="n">
        <f aca="false">Clean_Data!J15</f>
        <v>1</v>
      </c>
      <c r="N18" s="15" t="n">
        <f aca="false">AVERAGE(M9:M18)</f>
        <v>0.73565</v>
      </c>
    </row>
    <row r="19" customFormat="false" ht="15" hidden="false" customHeight="false" outlineLevel="0" collapsed="false">
      <c r="L19" s="8" t="n">
        <f aca="false">Clean_Data!A16</f>
        <v>1904</v>
      </c>
      <c r="M19" s="15" t="n">
        <f aca="false">Clean_Data!J16</f>
        <v>0.7</v>
      </c>
      <c r="N19" s="15" t="n">
        <f aca="false">AVERAGE(M10:M19)</f>
        <v>0.73065</v>
      </c>
    </row>
    <row r="20" customFormat="false" ht="15" hidden="false" customHeight="false" outlineLevel="0" collapsed="false">
      <c r="L20" s="8" t="n">
        <f aca="false">Clean_Data!A17</f>
        <v>1905</v>
      </c>
      <c r="M20" s="15" t="n">
        <f aca="false">Clean_Data!J17</f>
        <v>0.8</v>
      </c>
      <c r="N20" s="15" t="n">
        <f aca="false">AVERAGE(M11:M20)</f>
        <v>0.74398</v>
      </c>
    </row>
    <row r="21" customFormat="false" ht="15" hidden="false" customHeight="false" outlineLevel="0" collapsed="false">
      <c r="L21" s="8" t="n">
        <f aca="false">Clean_Data!A18</f>
        <v>1906</v>
      </c>
      <c r="M21" s="15" t="n">
        <f aca="false">Clean_Data!J18</f>
        <v>0.6</v>
      </c>
      <c r="N21" s="15" t="n">
        <f aca="false">AVERAGE(M12:M21)</f>
        <v>0.73898</v>
      </c>
    </row>
    <row r="22" customFormat="false" ht="15" hidden="false" customHeight="false" outlineLevel="0" collapsed="false">
      <c r="L22" s="8" t="n">
        <f aca="false">Clean_Data!A19</f>
        <v>1907</v>
      </c>
      <c r="M22" s="15" t="n">
        <f aca="false">Clean_Data!J19</f>
        <v>0.8</v>
      </c>
      <c r="N22" s="15" t="n">
        <f aca="false">AVERAGE(M13:M22)</f>
        <v>0.73565</v>
      </c>
    </row>
    <row r="23" customFormat="false" ht="15" hidden="false" customHeight="false" outlineLevel="0" collapsed="false">
      <c r="L23" s="8" t="n">
        <f aca="false">Clean_Data!A20</f>
        <v>1908</v>
      </c>
      <c r="M23" s="15" t="n">
        <f aca="false">Clean_Data!J20</f>
        <v>0.75</v>
      </c>
      <c r="N23" s="15" t="n">
        <f aca="false">AVERAGE(M14:M23)</f>
        <v>0.73792</v>
      </c>
    </row>
    <row r="24" customFormat="false" ht="15" hidden="false" customHeight="false" outlineLevel="0" collapsed="false">
      <c r="L24" s="8" t="n">
        <f aca="false">Clean_Data!A21</f>
        <v>1909</v>
      </c>
      <c r="M24" s="15" t="n">
        <f aca="false">Clean_Data!J21</f>
        <v>0.5</v>
      </c>
      <c r="N24" s="15" t="n">
        <f aca="false">AVERAGE(M15:M24)</f>
        <v>0.77125</v>
      </c>
    </row>
    <row r="25" customFormat="false" ht="15" hidden="false" customHeight="false" outlineLevel="0" collapsed="false">
      <c r="L25" s="8" t="n">
        <f aca="false">Clean_Data!A22</f>
        <v>1910</v>
      </c>
      <c r="M25" s="15" t="n">
        <f aca="false">Clean_Data!J22</f>
        <v>0.875</v>
      </c>
      <c r="N25" s="15" t="n">
        <f aca="false">AVERAGE(M16:M25)</f>
        <v>0.7775</v>
      </c>
    </row>
    <row r="26" customFormat="false" ht="15" hidden="false" customHeight="false" outlineLevel="0" collapsed="false">
      <c r="A26" s="16" t="s">
        <v>488</v>
      </c>
      <c r="B26" s="17"/>
      <c r="C26" s="17"/>
      <c r="D26" s="17"/>
      <c r="E26" s="17"/>
      <c r="F26" s="17"/>
      <c r="G26" s="17"/>
      <c r="H26" s="17"/>
      <c r="I26" s="17"/>
      <c r="J26" s="17"/>
      <c r="L26" s="8" t="n">
        <f aca="false">Clean_Data!A23</f>
        <v>1911</v>
      </c>
      <c r="M26" s="15" t="n">
        <f aca="false">Clean_Data!J23</f>
        <v>0.75</v>
      </c>
      <c r="N26" s="15" t="n">
        <f aca="false">AVERAGE(M17:M26)</f>
        <v>0.7775</v>
      </c>
    </row>
    <row r="27" customFormat="false" ht="15" hidden="false" customHeight="true" outlineLevel="0" collapsed="false">
      <c r="A27" s="18" t="s">
        <v>489</v>
      </c>
      <c r="B27" s="18"/>
      <c r="C27" s="18"/>
      <c r="D27" s="18"/>
      <c r="E27" s="18"/>
      <c r="F27" s="18"/>
      <c r="G27" s="18"/>
      <c r="H27" s="18"/>
      <c r="I27" s="18"/>
      <c r="J27" s="18"/>
      <c r="L27" s="8" t="n">
        <f aca="false">Clean_Data!A24</f>
        <v>1912</v>
      </c>
      <c r="M27" s="15" t="n">
        <f aca="false">Clean_Data!J24</f>
        <v>0.875</v>
      </c>
      <c r="N27" s="15" t="n">
        <f aca="false">AVERAGE(M18:M27)</f>
        <v>0.765</v>
      </c>
    </row>
    <row r="28" customFormat="false" ht="15" hidden="false" customHeight="false" outlineLevel="0" collapsed="false">
      <c r="A28" s="18"/>
      <c r="B28" s="18"/>
      <c r="C28" s="18"/>
      <c r="D28" s="18"/>
      <c r="E28" s="18"/>
      <c r="F28" s="18"/>
      <c r="G28" s="18"/>
      <c r="H28" s="18"/>
      <c r="I28" s="18"/>
      <c r="J28" s="18"/>
      <c r="L28" s="8" t="n">
        <f aca="false">Clean_Data!A25</f>
        <v>1913</v>
      </c>
      <c r="M28" s="15" t="n">
        <f aca="false">Clean_Data!J25</f>
        <v>1</v>
      </c>
      <c r="N28" s="15" t="n">
        <f aca="false">AVERAGE(M19:M28)</f>
        <v>0.765</v>
      </c>
    </row>
    <row r="29" customFormat="false" ht="15" hidden="false" customHeight="false" outlineLevel="0" collapsed="false">
      <c r="A29" s="18"/>
      <c r="B29" s="18"/>
      <c r="C29" s="18"/>
      <c r="D29" s="18"/>
      <c r="E29" s="18"/>
      <c r="F29" s="18"/>
      <c r="G29" s="18"/>
      <c r="H29" s="18"/>
      <c r="I29" s="18"/>
      <c r="J29" s="18"/>
      <c r="L29" s="8" t="n">
        <f aca="false">Clean_Data!A26</f>
        <v>1914</v>
      </c>
      <c r="M29" s="15" t="n">
        <f aca="false">Clean_Data!J26</f>
        <v>0.9375</v>
      </c>
      <c r="N29" s="15" t="n">
        <f aca="false">AVERAGE(M20:M29)</f>
        <v>0.78875</v>
      </c>
    </row>
    <row r="30" customFormat="false" ht="15" hidden="false" customHeight="false" outlineLevel="0" collapsed="false">
      <c r="A30" s="18"/>
      <c r="B30" s="18"/>
      <c r="C30" s="18"/>
      <c r="D30" s="18"/>
      <c r="E30" s="18"/>
      <c r="F30" s="18"/>
      <c r="G30" s="18"/>
      <c r="H30" s="18"/>
      <c r="I30" s="18"/>
      <c r="J30" s="18"/>
      <c r="L30" s="8" t="n">
        <f aca="false">Clean_Data!A27</f>
        <v>1915</v>
      </c>
      <c r="M30" s="15" t="n">
        <f aca="false">Clean_Data!J27</f>
        <v>1</v>
      </c>
      <c r="N30" s="15" t="n">
        <f aca="false">AVERAGE(M21:M30)</f>
        <v>0.80875</v>
      </c>
    </row>
    <row r="31" customFormat="false" ht="15" hidden="false" customHeight="false" outlineLevel="0" collapsed="false">
      <c r="A31" s="18"/>
      <c r="B31" s="18"/>
      <c r="C31" s="18"/>
      <c r="D31" s="18"/>
      <c r="E31" s="18"/>
      <c r="F31" s="18"/>
      <c r="G31" s="18"/>
      <c r="H31" s="18"/>
      <c r="I31" s="18"/>
      <c r="J31" s="18"/>
      <c r="L31" s="8" t="n">
        <f aca="false">Clean_Data!A28</f>
        <v>1916</v>
      </c>
      <c r="M31" s="15" t="n">
        <f aca="false">Clean_Data!J28</f>
        <v>0.75</v>
      </c>
      <c r="N31" s="15" t="n">
        <f aca="false">AVERAGE(M22:M31)</f>
        <v>0.82375</v>
      </c>
    </row>
    <row r="32" customFormat="false" ht="15" hidden="false" customHeight="false" outlineLevel="0" collapsed="false">
      <c r="A32" s="18"/>
      <c r="B32" s="18"/>
      <c r="C32" s="18"/>
      <c r="D32" s="18"/>
      <c r="E32" s="18"/>
      <c r="F32" s="18"/>
      <c r="G32" s="18"/>
      <c r="H32" s="18"/>
      <c r="I32" s="18"/>
      <c r="J32" s="18"/>
      <c r="L32" s="8" t="n">
        <f aca="false">Clean_Data!A29</f>
        <v>1917</v>
      </c>
      <c r="M32" s="15" t="n">
        <f aca="false">Clean_Data!J29</f>
        <v>0.7143</v>
      </c>
      <c r="N32" s="15" t="n">
        <f aca="false">AVERAGE(M23:M32)</f>
        <v>0.81518</v>
      </c>
    </row>
    <row r="33" customFormat="false" ht="15" hidden="false" customHeight="false" outlineLevel="0" collapsed="false">
      <c r="A33" s="18"/>
      <c r="B33" s="18"/>
      <c r="C33" s="18"/>
      <c r="D33" s="18"/>
      <c r="E33" s="18"/>
      <c r="F33" s="18"/>
      <c r="G33" s="18"/>
      <c r="H33" s="18"/>
      <c r="I33" s="18"/>
      <c r="J33" s="18"/>
      <c r="L33" s="8" t="n">
        <f aca="false">Clean_Data!A30</f>
        <v>1918</v>
      </c>
      <c r="M33" s="15" t="n">
        <f aca="false">Clean_Data!J30</f>
        <v>0.4167</v>
      </c>
      <c r="N33" s="15" t="n">
        <f aca="false">AVERAGE(M24:M33)</f>
        <v>0.78185</v>
      </c>
    </row>
    <row r="34" customFormat="false" ht="15" hidden="false" customHeight="false" outlineLevel="0" collapsed="false">
      <c r="A34" s="18"/>
      <c r="B34" s="18"/>
      <c r="C34" s="18"/>
      <c r="D34" s="18"/>
      <c r="E34" s="18"/>
      <c r="F34" s="18"/>
      <c r="G34" s="18"/>
      <c r="H34" s="18"/>
      <c r="I34" s="18"/>
      <c r="J34" s="18"/>
      <c r="L34" s="8" t="n">
        <f aca="false">Clean_Data!A31</f>
        <v>1919</v>
      </c>
      <c r="M34" s="15" t="n">
        <f aca="false">Clean_Data!J31</f>
        <v>0.5</v>
      </c>
      <c r="N34" s="15" t="n">
        <f aca="false">AVERAGE(M25:M34)</f>
        <v>0.78185</v>
      </c>
    </row>
    <row r="35" customFormat="false" ht="15" hidden="false" customHeight="false" outlineLevel="0" collapsed="false">
      <c r="L35" s="8" t="n">
        <f aca="false">Clean_Data!A32</f>
        <v>1920</v>
      </c>
      <c r="M35" s="15" t="n">
        <f aca="false">Clean_Data!J32</f>
        <v>0.6111</v>
      </c>
      <c r="N35" s="15" t="n">
        <f aca="false">AVERAGE(M26:M35)</f>
        <v>0.75546</v>
      </c>
    </row>
    <row r="36" customFormat="false" ht="15" hidden="false" customHeight="false" outlineLevel="0" collapsed="false">
      <c r="L36" s="8" t="n">
        <f aca="false">Clean_Data!A33</f>
        <v>1921</v>
      </c>
      <c r="M36" s="15" t="n">
        <f aca="false">Clean_Data!J33</f>
        <v>0.875</v>
      </c>
      <c r="N36" s="15" t="n">
        <f aca="false">AVERAGE(M27:M36)</f>
        <v>0.76796</v>
      </c>
    </row>
    <row r="37" customFormat="false" ht="15" hidden="false" customHeight="false" outlineLevel="0" collapsed="false">
      <c r="L37" s="8" t="n">
        <f aca="false">Clean_Data!A34</f>
        <v>1922</v>
      </c>
      <c r="M37" s="15" t="n">
        <f aca="false">Clean_Data!J34</f>
        <v>0.875</v>
      </c>
      <c r="N37" s="15" t="n">
        <f aca="false">AVERAGE(M28:M37)</f>
        <v>0.76796</v>
      </c>
    </row>
    <row r="38" customFormat="false" ht="15" hidden="false" customHeight="false" outlineLevel="0" collapsed="false">
      <c r="L38" s="8" t="n">
        <f aca="false">Clean_Data!A35</f>
        <v>1923</v>
      </c>
      <c r="M38" s="15" t="n">
        <f aca="false">Clean_Data!J35</f>
        <v>0.625</v>
      </c>
      <c r="N38" s="15" t="n">
        <f aca="false">AVERAGE(M29:M38)</f>
        <v>0.73046</v>
      </c>
    </row>
    <row r="39" customFormat="false" ht="15" hidden="false" customHeight="false" outlineLevel="0" collapsed="false">
      <c r="L39" s="8" t="n">
        <f aca="false">Clean_Data!A36</f>
        <v>1924</v>
      </c>
      <c r="M39" s="15" t="n">
        <f aca="false">Clean_Data!J36</f>
        <v>0.625</v>
      </c>
      <c r="N39" s="15" t="n">
        <f aca="false">AVERAGE(M30:M39)</f>
        <v>0.69921</v>
      </c>
    </row>
    <row r="40" customFormat="false" ht="15" hidden="false" customHeight="false" outlineLevel="0" collapsed="false">
      <c r="L40" s="8" t="n">
        <f aca="false">Clean_Data!A37</f>
        <v>1925</v>
      </c>
      <c r="M40" s="15" t="n">
        <f aca="false">Clean_Data!J37</f>
        <v>0.625</v>
      </c>
      <c r="N40" s="15" t="n">
        <f aca="false">AVERAGE(M31:M40)</f>
        <v>0.66171</v>
      </c>
    </row>
    <row r="41" customFormat="false" ht="15" hidden="false" customHeight="false" outlineLevel="0" collapsed="false">
      <c r="L41" s="8" t="n">
        <f aca="false">Clean_Data!A38</f>
        <v>1926</v>
      </c>
      <c r="M41" s="15" t="n">
        <f aca="false">Clean_Data!J38</f>
        <v>0.75</v>
      </c>
      <c r="N41" s="15" t="n">
        <f aca="false">AVERAGE(M32:M41)</f>
        <v>0.66171</v>
      </c>
    </row>
    <row r="42" customFormat="false" ht="15" hidden="false" customHeight="false" outlineLevel="0" collapsed="false">
      <c r="L42" s="8" t="n">
        <f aca="false">Clean_Data!A39</f>
        <v>1927</v>
      </c>
      <c r="M42" s="15" t="n">
        <f aca="false">Clean_Data!J39</f>
        <v>0.75</v>
      </c>
      <c r="N42" s="15" t="n">
        <f aca="false">AVERAGE(M33:M42)</f>
        <v>0.66528</v>
      </c>
    </row>
    <row r="43" customFormat="false" ht="15" hidden="false" customHeight="false" outlineLevel="0" collapsed="false">
      <c r="L43" s="8" t="n">
        <f aca="false">Clean_Data!A40</f>
        <v>1928</v>
      </c>
      <c r="M43" s="15" t="n">
        <f aca="false">Clean_Data!J40</f>
        <v>0.8333</v>
      </c>
      <c r="N43" s="15" t="n">
        <f aca="false">AVERAGE(M34:M43)</f>
        <v>0.70694</v>
      </c>
    </row>
    <row r="44" customFormat="false" ht="15" hidden="false" customHeight="false" outlineLevel="0" collapsed="false">
      <c r="L44" s="8" t="n">
        <f aca="false">Clean_Data!A41</f>
        <v>1929</v>
      </c>
      <c r="M44" s="15" t="n">
        <f aca="false">Clean_Data!J41</f>
        <v>0.6875</v>
      </c>
      <c r="N44" s="15" t="n">
        <f aca="false">AVERAGE(M35:M44)</f>
        <v>0.72569</v>
      </c>
    </row>
    <row r="45" customFormat="false" ht="15" hidden="false" customHeight="false" outlineLevel="0" collapsed="false">
      <c r="L45" s="8" t="n">
        <f aca="false">Clean_Data!A42</f>
        <v>1930</v>
      </c>
      <c r="M45" s="15" t="n">
        <f aca="false">Clean_Data!J42</f>
        <v>0.5556</v>
      </c>
      <c r="N45" s="15" t="n">
        <f aca="false">AVERAGE(M36:M45)</f>
        <v>0.72014</v>
      </c>
    </row>
    <row r="46" customFormat="false" ht="15" hidden="false" customHeight="false" outlineLevel="0" collapsed="false">
      <c r="L46" s="8" t="n">
        <f aca="false">Clean_Data!A43</f>
        <v>1931</v>
      </c>
      <c r="M46" s="15" t="n">
        <f aca="false">Clean_Data!J43</f>
        <v>0.8</v>
      </c>
      <c r="N46" s="15" t="n">
        <f aca="false">AVERAGE(M37:M46)</f>
        <v>0.71264</v>
      </c>
    </row>
    <row r="47" customFormat="false" ht="15" hidden="false" customHeight="false" outlineLevel="0" collapsed="false">
      <c r="L47" s="8" t="n">
        <f aca="false">Clean_Data!A44</f>
        <v>1932</v>
      </c>
      <c r="M47" s="15" t="n">
        <f aca="false">Clean_Data!J44</f>
        <v>0.8333</v>
      </c>
      <c r="N47" s="15" t="n">
        <f aca="false">AVERAGE(M38:M47)</f>
        <v>0.70847</v>
      </c>
    </row>
    <row r="48" customFormat="false" ht="15" hidden="false" customHeight="false" outlineLevel="0" collapsed="false">
      <c r="L48" s="8" t="n">
        <f aca="false">Clean_Data!A45</f>
        <v>1933</v>
      </c>
      <c r="M48" s="15" t="n">
        <f aca="false">Clean_Data!J45</f>
        <v>0.8889</v>
      </c>
      <c r="N48" s="15" t="n">
        <f aca="false">AVERAGE(M39:M48)</f>
        <v>0.73486</v>
      </c>
    </row>
    <row r="49" customFormat="false" ht="15" hidden="false" customHeight="false" outlineLevel="0" collapsed="false">
      <c r="L49" s="8" t="n">
        <f aca="false">Clean_Data!A46</f>
        <v>1934</v>
      </c>
      <c r="M49" s="15" t="n">
        <f aca="false">Clean_Data!J46</f>
        <v>0.6667</v>
      </c>
      <c r="N49" s="15" t="n">
        <f aca="false">AVERAGE(M40:M49)</f>
        <v>0.73903</v>
      </c>
    </row>
    <row r="50" customFormat="false" ht="15" hidden="false" customHeight="false" outlineLevel="0" collapsed="false">
      <c r="L50" s="8" t="n">
        <f aca="false">Clean_Data!A47</f>
        <v>1935</v>
      </c>
      <c r="M50" s="15" t="n">
        <f aca="false">Clean_Data!J47</f>
        <v>0.7222</v>
      </c>
      <c r="N50" s="15" t="n">
        <f aca="false">AVERAGE(M41:M50)</f>
        <v>0.74875</v>
      </c>
    </row>
    <row r="51" customFormat="false" ht="15" hidden="false" customHeight="false" outlineLevel="0" collapsed="false">
      <c r="L51" s="8" t="n">
        <f aca="false">Clean_Data!A48</f>
        <v>1936</v>
      </c>
      <c r="M51" s="15" t="n">
        <f aca="false">Clean_Data!J48</f>
        <v>0.7778</v>
      </c>
      <c r="N51" s="15" t="n">
        <f aca="false">AVERAGE(M42:M51)</f>
        <v>0.75153</v>
      </c>
    </row>
    <row r="52" customFormat="false" ht="15" hidden="false" customHeight="false" outlineLevel="0" collapsed="false">
      <c r="L52" s="8" t="n">
        <f aca="false">Clean_Data!A49</f>
        <v>1937</v>
      </c>
      <c r="M52" s="15" t="n">
        <f aca="false">Clean_Data!J49</f>
        <v>0.7778</v>
      </c>
      <c r="N52" s="15" t="n">
        <f aca="false">AVERAGE(M43:M52)</f>
        <v>0.75431</v>
      </c>
    </row>
    <row r="53" customFormat="false" ht="15" hidden="false" customHeight="false" outlineLevel="0" collapsed="false">
      <c r="L53" s="8" t="n">
        <f aca="false">Clean_Data!A50</f>
        <v>1938</v>
      </c>
      <c r="M53" s="15" t="n">
        <f aca="false">Clean_Data!J50</f>
        <v>0.3889</v>
      </c>
      <c r="N53" s="15" t="n">
        <f aca="false">AVERAGE(M44:M53)</f>
        <v>0.70987</v>
      </c>
    </row>
    <row r="54" customFormat="false" ht="15" hidden="false" customHeight="false" outlineLevel="0" collapsed="false">
      <c r="L54" s="8" t="n">
        <f aca="false">Clean_Data!A51</f>
        <v>1939</v>
      </c>
      <c r="M54" s="15" t="n">
        <f aca="false">Clean_Data!J51</f>
        <v>0.8333</v>
      </c>
      <c r="N54" s="15" t="n">
        <f aca="false">AVERAGE(M45:M54)</f>
        <v>0.72445</v>
      </c>
    </row>
    <row r="55" customFormat="false" ht="15" hidden="false" customHeight="false" outlineLevel="0" collapsed="false">
      <c r="L55" s="8" t="n">
        <f aca="false">Clean_Data!A52</f>
        <v>1940</v>
      </c>
      <c r="M55" s="15" t="n">
        <f aca="false">Clean_Data!J52</f>
        <v>0.8</v>
      </c>
      <c r="N55" s="15" t="n">
        <f aca="false">AVERAGE(M46:M55)</f>
        <v>0.74889</v>
      </c>
    </row>
    <row r="56" customFormat="false" ht="15" hidden="false" customHeight="false" outlineLevel="0" collapsed="false">
      <c r="L56" s="8" t="n">
        <f aca="false">Clean_Data!A53</f>
        <v>1941</v>
      </c>
      <c r="M56" s="15" t="n">
        <f aca="false">Clean_Data!J53</f>
        <v>0.4444</v>
      </c>
      <c r="N56" s="15" t="n">
        <f aca="false">AVERAGE(M47:M56)</f>
        <v>0.71333</v>
      </c>
    </row>
    <row r="57" customFormat="false" ht="15" hidden="false" customHeight="false" outlineLevel="0" collapsed="false">
      <c r="L57" s="8" t="n">
        <f aca="false">Clean_Data!A54</f>
        <v>1942</v>
      </c>
      <c r="M57" s="15" t="n">
        <f aca="false">Clean_Data!J54</f>
        <v>0.3</v>
      </c>
      <c r="N57" s="15" t="n">
        <f aca="false">AVERAGE(M48:M57)</f>
        <v>0.66</v>
      </c>
    </row>
    <row r="58" customFormat="false" ht="15" hidden="false" customHeight="false" outlineLevel="0" collapsed="false">
      <c r="L58" s="8" t="n">
        <f aca="false">Clean_Data!A55</f>
        <v>1943</v>
      </c>
      <c r="M58" s="15" t="n">
        <f aca="false">Clean_Data!J55</f>
        <v>0.25</v>
      </c>
      <c r="N58" s="15" t="n">
        <f aca="false">AVERAGE(M49:M58)</f>
        <v>0.59611</v>
      </c>
    </row>
    <row r="59" customFormat="false" ht="15" hidden="false" customHeight="false" outlineLevel="0" collapsed="false">
      <c r="L59" s="8" t="n">
        <f aca="false">Clean_Data!A56</f>
        <v>1944</v>
      </c>
      <c r="M59" s="15" t="n">
        <f aca="false">Clean_Data!J56</f>
        <v>0.25</v>
      </c>
      <c r="N59" s="15" t="n">
        <f aca="false">AVERAGE(M50:M59)</f>
        <v>0.55444</v>
      </c>
    </row>
    <row r="60" customFormat="false" ht="15" hidden="false" customHeight="false" outlineLevel="0" collapsed="false">
      <c r="L60" s="8" t="n">
        <f aca="false">Clean_Data!A57</f>
        <v>1945</v>
      </c>
      <c r="M60" s="15" t="n">
        <f aca="false">Clean_Data!J57</f>
        <v>0.4444</v>
      </c>
      <c r="N60" s="15" t="n">
        <f aca="false">AVERAGE(M51:M60)</f>
        <v>0.52666</v>
      </c>
    </row>
    <row r="61" customFormat="false" ht="15" hidden="false" customHeight="false" outlineLevel="0" collapsed="false">
      <c r="L61" s="8" t="n">
        <f aca="false">Clean_Data!A58</f>
        <v>1946</v>
      </c>
      <c r="M61" s="15" t="n">
        <f aca="false">Clean_Data!J58</f>
        <v>0.3333</v>
      </c>
      <c r="N61" s="15" t="n">
        <f aca="false">AVERAGE(M52:M61)</f>
        <v>0.48221</v>
      </c>
    </row>
    <row r="62" customFormat="false" ht="15" hidden="false" customHeight="false" outlineLevel="0" collapsed="false">
      <c r="L62" s="8" t="n">
        <f aca="false">Clean_Data!A59</f>
        <v>1947</v>
      </c>
      <c r="M62" s="15" t="n">
        <f aca="false">Clean_Data!J59</f>
        <v>0.2222</v>
      </c>
      <c r="N62" s="15" t="n">
        <f aca="false">AVERAGE(M53:M62)</f>
        <v>0.42665</v>
      </c>
    </row>
    <row r="63" customFormat="false" ht="15" hidden="false" customHeight="false" outlineLevel="0" collapsed="false">
      <c r="L63" s="8" t="n">
        <f aca="false">Clean_Data!A60</f>
        <v>1948</v>
      </c>
      <c r="M63" s="15" t="n">
        <f aca="false">Clean_Data!J60</f>
        <v>0.2</v>
      </c>
      <c r="N63" s="15" t="n">
        <f aca="false">AVERAGE(M54:M63)</f>
        <v>0.40776</v>
      </c>
    </row>
    <row r="64" customFormat="false" ht="15" hidden="false" customHeight="false" outlineLevel="0" collapsed="false">
      <c r="L64" s="8" t="n">
        <f aca="false">Clean_Data!A61</f>
        <v>1949</v>
      </c>
      <c r="M64" s="15" t="n">
        <f aca="false">Clean_Data!J61</f>
        <v>0.4444</v>
      </c>
      <c r="N64" s="15" t="n">
        <f aca="false">AVERAGE(M55:M64)</f>
        <v>0.36887</v>
      </c>
    </row>
    <row r="65" customFormat="false" ht="15" hidden="false" customHeight="false" outlineLevel="0" collapsed="false">
      <c r="L65" s="8" t="n">
        <f aca="false">Clean_Data!A62</f>
        <v>1950</v>
      </c>
      <c r="M65" s="15" t="n">
        <f aca="false">Clean_Data!J62</f>
        <v>0.7222</v>
      </c>
      <c r="N65" s="15" t="n">
        <f aca="false">AVERAGE(M56:M65)</f>
        <v>0.36109</v>
      </c>
    </row>
    <row r="66" customFormat="false" ht="15" hidden="false" customHeight="false" outlineLevel="0" collapsed="false">
      <c r="L66" s="8" t="n">
        <f aca="false">Clean_Data!A63</f>
        <v>1951</v>
      </c>
      <c r="M66" s="15" t="n">
        <f aca="false">Clean_Data!J63</f>
        <v>0.2</v>
      </c>
      <c r="N66" s="15" t="n">
        <f aca="false">AVERAGE(M57:M66)</f>
        <v>0.33665</v>
      </c>
    </row>
    <row r="67" customFormat="false" ht="15" hidden="false" customHeight="false" outlineLevel="0" collapsed="false">
      <c r="L67" s="8" t="n">
        <f aca="false">Clean_Data!A64</f>
        <v>1952</v>
      </c>
      <c r="M67" s="15" t="n">
        <f aca="false">Clean_Data!J64</f>
        <v>0.55</v>
      </c>
      <c r="N67" s="15" t="n">
        <f aca="false">AVERAGE(M58:M67)</f>
        <v>0.36165</v>
      </c>
    </row>
    <row r="68" customFormat="false" ht="15" hidden="false" customHeight="false" outlineLevel="0" collapsed="false">
      <c r="L68" s="8" t="n">
        <f aca="false">Clean_Data!A65</f>
        <v>1953</v>
      </c>
      <c r="M68" s="15" t="n">
        <f aca="false">Clean_Data!J65</f>
        <v>0.35</v>
      </c>
      <c r="N68" s="15" t="n">
        <f aca="false">AVERAGE(M59:M68)</f>
        <v>0.37165</v>
      </c>
    </row>
    <row r="69" customFormat="false" ht="15" hidden="false" customHeight="false" outlineLevel="0" collapsed="false">
      <c r="L69" s="8" t="n">
        <f aca="false">Clean_Data!A66</f>
        <v>1954</v>
      </c>
      <c r="M69" s="15" t="n">
        <f aca="false">Clean_Data!J66</f>
        <v>0.5455</v>
      </c>
      <c r="N69" s="15" t="n">
        <f aca="false">AVERAGE(M60:M69)</f>
        <v>0.4012</v>
      </c>
    </row>
    <row r="70" customFormat="false" ht="15" hidden="false" customHeight="false" outlineLevel="0" collapsed="false">
      <c r="L70" s="8" t="n">
        <f aca="false">Clean_Data!A67</f>
        <v>1955</v>
      </c>
      <c r="M70" s="15" t="n">
        <f aca="false">Clean_Data!J67</f>
        <v>0.5</v>
      </c>
      <c r="N70" s="15" t="n">
        <f aca="false">AVERAGE(M61:M70)</f>
        <v>0.40676</v>
      </c>
    </row>
    <row r="71" customFormat="false" ht="15" hidden="false" customHeight="false" outlineLevel="0" collapsed="false">
      <c r="L71" s="8" t="n">
        <f aca="false">Clean_Data!A68</f>
        <v>1956</v>
      </c>
      <c r="M71" s="15" t="n">
        <f aca="false">Clean_Data!J68</f>
        <v>0.4</v>
      </c>
      <c r="N71" s="15" t="n">
        <f aca="false">AVERAGE(M62:M71)</f>
        <v>0.41343</v>
      </c>
    </row>
    <row r="72" customFormat="false" ht="15" hidden="false" customHeight="false" outlineLevel="0" collapsed="false">
      <c r="L72" s="8" t="n">
        <f aca="false">Clean_Data!A69</f>
        <v>1957</v>
      </c>
      <c r="M72" s="15" t="n">
        <f aca="false">Clean_Data!J69</f>
        <v>0.1</v>
      </c>
      <c r="N72" s="15" t="n">
        <f aca="false">AVERAGE(M63:M72)</f>
        <v>0.40121</v>
      </c>
    </row>
    <row r="73" customFormat="false" ht="15" hidden="false" customHeight="false" outlineLevel="0" collapsed="false">
      <c r="L73" s="8" t="n">
        <f aca="false">Clean_Data!A70</f>
        <v>1958</v>
      </c>
      <c r="M73" s="15" t="n">
        <f aca="false">Clean_Data!J70</f>
        <v>0.3</v>
      </c>
      <c r="N73" s="15" t="n">
        <f aca="false">AVERAGE(M64:M73)</f>
        <v>0.41121</v>
      </c>
    </row>
    <row r="74" customFormat="false" ht="15" hidden="false" customHeight="false" outlineLevel="0" collapsed="false">
      <c r="L74" s="8" t="n">
        <f aca="false">Clean_Data!A71</f>
        <v>1959</v>
      </c>
      <c r="M74" s="15" t="n">
        <f aca="false">Clean_Data!J71</f>
        <v>0.4</v>
      </c>
      <c r="N74" s="15" t="n">
        <f aca="false">AVERAGE(M65:M74)</f>
        <v>0.40677</v>
      </c>
    </row>
    <row r="75" customFormat="false" ht="15" hidden="false" customHeight="false" outlineLevel="0" collapsed="false">
      <c r="L75" s="8" t="n">
        <f aca="false">Clean_Data!A72</f>
        <v>1960</v>
      </c>
      <c r="M75" s="15" t="n">
        <f aca="false">Clean_Data!J72</f>
        <v>0.4</v>
      </c>
      <c r="N75" s="15" t="n">
        <f aca="false">AVERAGE(M66:M75)</f>
        <v>0.37455</v>
      </c>
    </row>
    <row r="76" customFormat="false" ht="15" hidden="false" customHeight="false" outlineLevel="0" collapsed="false">
      <c r="L76" s="8" t="n">
        <f aca="false">Clean_Data!A73</f>
        <v>1961</v>
      </c>
      <c r="M76" s="15" t="n">
        <f aca="false">Clean_Data!J73</f>
        <v>0.35</v>
      </c>
      <c r="N76" s="15" t="n">
        <f aca="false">AVERAGE(M67:M76)</f>
        <v>0.38955</v>
      </c>
    </row>
    <row r="77" customFormat="false" ht="15" hidden="false" customHeight="false" outlineLevel="0" collapsed="false">
      <c r="L77" s="8" t="n">
        <f aca="false">Clean_Data!A74</f>
        <v>1962</v>
      </c>
      <c r="M77" s="15" t="n">
        <f aca="false">Clean_Data!J74</f>
        <v>0.8182</v>
      </c>
      <c r="N77" s="15" t="n">
        <f aca="false">AVERAGE(M68:M77)</f>
        <v>0.41637</v>
      </c>
    </row>
    <row r="78" customFormat="false" ht="15" hidden="false" customHeight="false" outlineLevel="0" collapsed="false">
      <c r="L78" s="8" t="n">
        <f aca="false">Clean_Data!A75</f>
        <v>1963</v>
      </c>
      <c r="M78" s="15" t="n">
        <f aca="false">Clean_Data!J75</f>
        <v>0.9091</v>
      </c>
      <c r="N78" s="15" t="n">
        <f aca="false">AVERAGE(M69:M78)</f>
        <v>0.47228</v>
      </c>
    </row>
    <row r="79" customFormat="false" ht="15" hidden="false" customHeight="false" outlineLevel="0" collapsed="false">
      <c r="L79" s="8" t="n">
        <f aca="false">Clean_Data!A76</f>
        <v>1964</v>
      </c>
      <c r="M79" s="15" t="n">
        <f aca="false">Clean_Data!J76</f>
        <v>0.8182</v>
      </c>
      <c r="N79" s="15" t="n">
        <f aca="false">AVERAGE(M70:M79)</f>
        <v>0.49955</v>
      </c>
    </row>
    <row r="80" customFormat="false" ht="15" hidden="false" customHeight="false" outlineLevel="0" collapsed="false">
      <c r="L80" s="8" t="n">
        <f aca="false">Clean_Data!A77</f>
        <v>1965</v>
      </c>
      <c r="M80" s="15" t="n">
        <f aca="false">Clean_Data!J77</f>
        <v>0.9091</v>
      </c>
      <c r="N80" s="15" t="n">
        <f aca="false">AVERAGE(M71:M80)</f>
        <v>0.54046</v>
      </c>
    </row>
    <row r="81" customFormat="false" ht="15" hidden="false" customHeight="false" outlineLevel="0" collapsed="false">
      <c r="L81" s="8" t="n">
        <f aca="false">Clean_Data!A78</f>
        <v>1966</v>
      </c>
      <c r="M81" s="15" t="n">
        <f aca="false">Clean_Data!J78</f>
        <v>0.8182</v>
      </c>
      <c r="N81" s="15" t="n">
        <f aca="false">AVERAGE(M72:M81)</f>
        <v>0.58228</v>
      </c>
    </row>
    <row r="82" customFormat="false" ht="15" hidden="false" customHeight="false" outlineLevel="0" collapsed="false">
      <c r="L82" s="8" t="n">
        <f aca="false">Clean_Data!A79</f>
        <v>1967</v>
      </c>
      <c r="M82" s="15" t="n">
        <f aca="false">Clean_Data!J79</f>
        <v>0.6</v>
      </c>
      <c r="N82" s="15" t="n">
        <f aca="false">AVERAGE(M73:M82)</f>
        <v>0.63228</v>
      </c>
    </row>
    <row r="83" customFormat="false" ht="15" hidden="false" customHeight="false" outlineLevel="0" collapsed="false">
      <c r="L83" s="8" t="n">
        <f aca="false">Clean_Data!A80</f>
        <v>1968</v>
      </c>
      <c r="M83" s="15" t="n">
        <f aca="false">Clean_Data!J80</f>
        <v>0.6</v>
      </c>
      <c r="N83" s="15" t="n">
        <f aca="false">AVERAGE(M74:M83)</f>
        <v>0.66228</v>
      </c>
    </row>
    <row r="84" customFormat="false" ht="15" hidden="false" customHeight="false" outlineLevel="0" collapsed="false">
      <c r="L84" s="8" t="n">
        <f aca="false">Clean_Data!A81</f>
        <v>1969</v>
      </c>
      <c r="M84" s="15" t="n">
        <f aca="false">Clean_Data!J81</f>
        <v>0.8182</v>
      </c>
      <c r="N84" s="15" t="n">
        <f aca="false">AVERAGE(M75:M84)</f>
        <v>0.7041</v>
      </c>
    </row>
    <row r="85" customFormat="false" ht="15" hidden="false" customHeight="false" outlineLevel="0" collapsed="false">
      <c r="L85" s="8" t="n">
        <f aca="false">Clean_Data!A82</f>
        <v>1970</v>
      </c>
      <c r="M85" s="15" t="n">
        <f aca="false">Clean_Data!J82</f>
        <v>0.9583</v>
      </c>
      <c r="N85" s="15" t="n">
        <f aca="false">AVERAGE(M76:M85)</f>
        <v>0.75993</v>
      </c>
    </row>
    <row r="86" customFormat="false" ht="15" hidden="false" customHeight="false" outlineLevel="0" collapsed="false">
      <c r="L86" s="8" t="n">
        <f aca="false">Clean_Data!A83</f>
        <v>1971</v>
      </c>
      <c r="M86" s="15" t="n">
        <f aca="false">Clean_Data!J83</f>
        <v>1</v>
      </c>
      <c r="N86" s="15" t="n">
        <f aca="false">AVERAGE(M77:M86)</f>
        <v>0.82493</v>
      </c>
    </row>
    <row r="87" customFormat="false" ht="15" hidden="false" customHeight="false" outlineLevel="0" collapsed="false">
      <c r="L87" s="8" t="n">
        <f aca="false">Clean_Data!A84</f>
        <v>1972</v>
      </c>
      <c r="M87" s="15" t="n">
        <f aca="false">Clean_Data!J84</f>
        <v>0.7917</v>
      </c>
      <c r="N87" s="15" t="n">
        <f aca="false">AVERAGE(M78:M87)</f>
        <v>0.82228</v>
      </c>
    </row>
    <row r="88" customFormat="false" ht="15" hidden="false" customHeight="false" outlineLevel="0" collapsed="false">
      <c r="L88" s="8" t="n">
        <f aca="false">Clean_Data!A85</f>
        <v>1973</v>
      </c>
      <c r="M88" s="15" t="n">
        <f aca="false">Clean_Data!J85</f>
        <v>0.7917</v>
      </c>
      <c r="N88" s="15" t="n">
        <f aca="false">AVERAGE(M79:M88)</f>
        <v>0.81054</v>
      </c>
    </row>
    <row r="89" customFormat="false" ht="15" hidden="false" customHeight="false" outlineLevel="0" collapsed="false">
      <c r="L89" s="8" t="n">
        <f aca="false">Clean_Data!A86</f>
        <v>1974</v>
      </c>
      <c r="M89" s="15" t="n">
        <f aca="false">Clean_Data!J86</f>
        <v>0.75</v>
      </c>
      <c r="N89" s="15" t="n">
        <f aca="false">AVERAGE(M80:M89)</f>
        <v>0.80372</v>
      </c>
    </row>
    <row r="90" customFormat="false" ht="15" hidden="false" customHeight="false" outlineLevel="0" collapsed="false">
      <c r="L90" s="8" t="n">
        <f aca="false">Clean_Data!A87</f>
        <v>1975</v>
      </c>
      <c r="M90" s="15" t="n">
        <f aca="false">Clean_Data!J87</f>
        <v>0.8333</v>
      </c>
      <c r="N90" s="15" t="n">
        <f aca="false">AVERAGE(M81:M90)</f>
        <v>0.79614</v>
      </c>
    </row>
    <row r="91" customFormat="false" ht="15" hidden="false" customHeight="false" outlineLevel="0" collapsed="false">
      <c r="L91" s="8" t="n">
        <f aca="false">Clean_Data!A88</f>
        <v>1976</v>
      </c>
      <c r="M91" s="15" t="n">
        <f aca="false">Clean_Data!J88</f>
        <v>0.7308</v>
      </c>
      <c r="N91" s="15" t="n">
        <f aca="false">AVERAGE(M82:M91)</f>
        <v>0.7874</v>
      </c>
    </row>
    <row r="92" customFormat="false" ht="15" hidden="false" customHeight="false" outlineLevel="0" collapsed="false">
      <c r="L92" s="8" t="n">
        <f aca="false">Clean_Data!A89</f>
        <v>1977</v>
      </c>
      <c r="M92" s="15" t="n">
        <f aca="false">Clean_Data!J89</f>
        <v>0.75</v>
      </c>
      <c r="N92" s="15" t="n">
        <f aca="false">AVERAGE(M83:M92)</f>
        <v>0.8024</v>
      </c>
    </row>
    <row r="93" customFormat="false" ht="15" hidden="false" customHeight="false" outlineLevel="0" collapsed="false">
      <c r="L93" s="8" t="n">
        <f aca="false">Clean_Data!A90</f>
        <v>1978</v>
      </c>
      <c r="M93" s="15" t="n">
        <f aca="false">Clean_Data!J90</f>
        <v>0.75</v>
      </c>
      <c r="N93" s="15" t="n">
        <f aca="false">AVERAGE(M84:M93)</f>
        <v>0.8174</v>
      </c>
    </row>
    <row r="94" customFormat="false" ht="15" hidden="false" customHeight="false" outlineLevel="0" collapsed="false">
      <c r="L94" s="8" t="n">
        <f aca="false">Clean_Data!A91</f>
        <v>1979</v>
      </c>
      <c r="M94" s="15" t="n">
        <f aca="false">Clean_Data!J91</f>
        <v>0.8333</v>
      </c>
      <c r="N94" s="15" t="n">
        <f aca="false">AVERAGE(M85:M94)</f>
        <v>0.81891</v>
      </c>
    </row>
    <row r="95" customFormat="false" ht="15" hidden="false" customHeight="false" outlineLevel="0" collapsed="false">
      <c r="L95" s="8" t="n">
        <f aca="false">Clean_Data!A92</f>
        <v>1980</v>
      </c>
      <c r="M95" s="15" t="n">
        <f aca="false">Clean_Data!J92</f>
        <v>0.8333</v>
      </c>
      <c r="N95" s="15" t="n">
        <f aca="false">AVERAGE(M86:M95)</f>
        <v>0.80641</v>
      </c>
    </row>
    <row r="96" customFormat="false" ht="15" hidden="false" customHeight="false" outlineLevel="0" collapsed="false">
      <c r="L96" s="8" t="n">
        <f aca="false">Clean_Data!A93</f>
        <v>1981</v>
      </c>
      <c r="M96" s="15" t="n">
        <f aca="false">Clean_Data!J93</f>
        <v>0.75</v>
      </c>
      <c r="N96" s="15" t="n">
        <f aca="false">AVERAGE(M87:M96)</f>
        <v>0.78141</v>
      </c>
    </row>
    <row r="97" customFormat="false" ht="15" hidden="false" customHeight="false" outlineLevel="0" collapsed="false">
      <c r="L97" s="8" t="n">
        <f aca="false">Clean_Data!A94</f>
        <v>1982</v>
      </c>
      <c r="M97" s="15" t="n">
        <f aca="false">Clean_Data!J94</f>
        <v>0.9231</v>
      </c>
      <c r="N97" s="15" t="n">
        <f aca="false">AVERAGE(M88:M97)</f>
        <v>0.79455</v>
      </c>
    </row>
    <row r="98" customFormat="false" ht="15" hidden="false" customHeight="false" outlineLevel="0" collapsed="false">
      <c r="L98" s="8" t="n">
        <f aca="false">Clean_Data!A95</f>
        <v>1983</v>
      </c>
      <c r="M98" s="15" t="n">
        <f aca="false">Clean_Data!J95</f>
        <v>0.9231</v>
      </c>
      <c r="N98" s="15" t="n">
        <f aca="false">AVERAGE(M89:M98)</f>
        <v>0.80769</v>
      </c>
    </row>
    <row r="99" customFormat="false" ht="15" hidden="false" customHeight="false" outlineLevel="0" collapsed="false">
      <c r="L99" s="8" t="n">
        <f aca="false">Clean_Data!A96</f>
        <v>1984</v>
      </c>
      <c r="M99" s="15" t="n">
        <f aca="false">Clean_Data!J96</f>
        <v>0.8333</v>
      </c>
      <c r="N99" s="15" t="n">
        <f aca="false">AVERAGE(M90:M99)</f>
        <v>0.81602</v>
      </c>
    </row>
    <row r="100" customFormat="false" ht="15" hidden="false" customHeight="false" outlineLevel="0" collapsed="false">
      <c r="L100" s="8" t="n">
        <f aca="false">Clean_Data!A97</f>
        <v>1985</v>
      </c>
      <c r="M100" s="15" t="n">
        <f aca="false">Clean_Data!J97</f>
        <v>0.75</v>
      </c>
      <c r="N100" s="15" t="n">
        <f aca="false">AVERAGE(M91:M100)</f>
        <v>0.80769</v>
      </c>
    </row>
    <row r="101" customFormat="false" ht="15" hidden="false" customHeight="false" outlineLevel="0" collapsed="false">
      <c r="L101" s="8" t="n">
        <f aca="false">Clean_Data!A98</f>
        <v>1986</v>
      </c>
      <c r="M101" s="15" t="n">
        <f aca="false">Clean_Data!J98</f>
        <v>0.8333</v>
      </c>
      <c r="N101" s="15" t="n">
        <f aca="false">AVERAGE(M92:M101)</f>
        <v>0.81794</v>
      </c>
    </row>
    <row r="102" customFormat="false" ht="15" hidden="false" customHeight="false" outlineLevel="0" collapsed="false">
      <c r="L102" s="8" t="n">
        <f aca="false">Clean_Data!A99</f>
        <v>1987</v>
      </c>
      <c r="M102" s="15" t="n">
        <f aca="false">Clean_Data!J99</f>
        <v>0.8333</v>
      </c>
      <c r="N102" s="15" t="n">
        <f aca="false">AVERAGE(M93:M102)</f>
        <v>0.82627</v>
      </c>
    </row>
    <row r="103" customFormat="false" ht="15" hidden="false" customHeight="false" outlineLevel="0" collapsed="false">
      <c r="L103" s="8" t="n">
        <f aca="false">Clean_Data!A100</f>
        <v>1988</v>
      </c>
      <c r="M103" s="15" t="n">
        <f aca="false">Clean_Data!J100</f>
        <v>0.8462</v>
      </c>
      <c r="N103" s="15" t="n">
        <f aca="false">AVERAGE(M94:M103)</f>
        <v>0.83589</v>
      </c>
    </row>
    <row r="104" customFormat="false" ht="15" hidden="false" customHeight="false" outlineLevel="0" collapsed="false">
      <c r="L104" s="8" t="n">
        <f aca="false">Clean_Data!A101</f>
        <v>1989</v>
      </c>
      <c r="M104" s="15" t="n">
        <f aca="false">Clean_Data!J101</f>
        <v>0.8333</v>
      </c>
      <c r="N104" s="15" t="n">
        <f aca="false">AVERAGE(M95:M104)</f>
        <v>0.83589</v>
      </c>
    </row>
    <row r="105" customFormat="false" ht="15" hidden="false" customHeight="false" outlineLevel="0" collapsed="false">
      <c r="L105" s="8" t="n">
        <f aca="false">Clean_Data!A102</f>
        <v>1990</v>
      </c>
      <c r="M105" s="15" t="n">
        <f aca="false">Clean_Data!J102</f>
        <v>0.75</v>
      </c>
      <c r="N105" s="15" t="n">
        <f aca="false">AVERAGE(M96:M105)</f>
        <v>0.82756</v>
      </c>
    </row>
    <row r="106" customFormat="false" ht="15" hidden="false" customHeight="false" outlineLevel="0" collapsed="false">
      <c r="L106" s="8" t="n">
        <f aca="false">Clean_Data!A103</f>
        <v>1991</v>
      </c>
      <c r="M106" s="15" t="n">
        <f aca="false">Clean_Data!J103</f>
        <v>0.7917</v>
      </c>
      <c r="N106" s="15" t="n">
        <f aca="false">AVERAGE(M97:M106)</f>
        <v>0.83173</v>
      </c>
    </row>
    <row r="107" customFormat="false" ht="15" hidden="false" customHeight="false" outlineLevel="0" collapsed="false">
      <c r="L107" s="8" t="n">
        <f aca="false">Clean_Data!A104</f>
        <v>1992</v>
      </c>
      <c r="M107" s="15" t="n">
        <f aca="false">Clean_Data!J104</f>
        <v>0.75</v>
      </c>
      <c r="N107" s="15" t="n">
        <f aca="false">AVERAGE(M98:M107)</f>
        <v>0.81442</v>
      </c>
    </row>
    <row r="108" customFormat="false" ht="15" hidden="false" customHeight="false" outlineLevel="0" collapsed="false">
      <c r="L108" s="8" t="n">
        <f aca="false">Clean_Data!A105</f>
        <v>1993</v>
      </c>
      <c r="M108" s="15" t="n">
        <f aca="false">Clean_Data!J105</f>
        <v>0.9167</v>
      </c>
      <c r="N108" s="15" t="n">
        <f aca="false">AVERAGE(M99:M108)</f>
        <v>0.81378</v>
      </c>
    </row>
    <row r="109" customFormat="false" ht="15" hidden="false" customHeight="false" outlineLevel="0" collapsed="false">
      <c r="L109" s="8" t="n">
        <f aca="false">Clean_Data!A106</f>
        <v>1994</v>
      </c>
      <c r="M109" s="15" t="n">
        <f aca="false">Clean_Data!J106</f>
        <v>1</v>
      </c>
      <c r="N109" s="15" t="n">
        <f aca="false">AVERAGE(M100:M109)</f>
        <v>0.83045</v>
      </c>
    </row>
    <row r="110" customFormat="false" ht="15" hidden="false" customHeight="false" outlineLevel="0" collapsed="false">
      <c r="L110" s="8" t="n">
        <f aca="false">Clean_Data!A107</f>
        <v>1995</v>
      </c>
      <c r="M110" s="15" t="n">
        <f aca="false">Clean_Data!J107</f>
        <v>1</v>
      </c>
      <c r="N110" s="15" t="n">
        <f aca="false">AVERAGE(M101:M110)</f>
        <v>0.85545</v>
      </c>
    </row>
    <row r="111" customFormat="false" ht="15" hidden="false" customHeight="false" outlineLevel="0" collapsed="false">
      <c r="L111" s="8" t="n">
        <f aca="false">Clean_Data!A108</f>
        <v>1996</v>
      </c>
      <c r="M111" s="15" t="n">
        <f aca="false">Clean_Data!J108</f>
        <v>0.8462</v>
      </c>
      <c r="N111" s="15" t="n">
        <f aca="false">AVERAGE(M102:M111)</f>
        <v>0.85674</v>
      </c>
    </row>
    <row r="112" customFormat="false" ht="15" hidden="false" customHeight="false" outlineLevel="0" collapsed="false">
      <c r="L112" s="8" t="n">
        <f aca="false">Clean_Data!A109</f>
        <v>1997</v>
      </c>
      <c r="M112" s="15" t="n">
        <f aca="false">Clean_Data!J109</f>
        <v>1</v>
      </c>
      <c r="N112" s="15" t="n">
        <f aca="false">AVERAGE(M103:M112)</f>
        <v>0.87341</v>
      </c>
    </row>
    <row r="113" customFormat="false" ht="15" hidden="false" customHeight="false" outlineLevel="0" collapsed="false">
      <c r="L113" s="8" t="n">
        <f aca="false">Clean_Data!A110</f>
        <v>1998</v>
      </c>
      <c r="M113" s="15" t="n">
        <f aca="false">Clean_Data!J110</f>
        <v>0.6923</v>
      </c>
      <c r="N113" s="15" t="n">
        <f aca="false">AVERAGE(M104:M113)</f>
        <v>0.85802</v>
      </c>
    </row>
    <row r="114" customFormat="false" ht="15" hidden="false" customHeight="false" outlineLevel="0" collapsed="false">
      <c r="L114" s="8" t="n">
        <f aca="false">Clean_Data!A111</f>
        <v>1999</v>
      </c>
      <c r="M114" s="15" t="n">
        <f aca="false">Clean_Data!J111</f>
        <v>0.9231</v>
      </c>
      <c r="N114" s="15" t="n">
        <f aca="false">AVERAGE(M105:M114)</f>
        <v>0.867</v>
      </c>
    </row>
    <row r="115" customFormat="false" ht="15" hidden="false" customHeight="false" outlineLevel="0" collapsed="false">
      <c r="L115" s="8" t="n">
        <f aca="false">Clean_Data!A112</f>
        <v>2000</v>
      </c>
      <c r="M115" s="15" t="n">
        <f aca="false">Clean_Data!J112</f>
        <v>0.8333</v>
      </c>
      <c r="N115" s="15" t="n">
        <f aca="false">AVERAGE(M106:M115)</f>
        <v>0.87533</v>
      </c>
    </row>
    <row r="116" customFormat="false" ht="15" hidden="false" customHeight="false" outlineLevel="0" collapsed="false">
      <c r="L116" s="8" t="n">
        <f aca="false">Clean_Data!A113</f>
        <v>2001</v>
      </c>
      <c r="M116" s="15" t="n">
        <f aca="false">Clean_Data!J113</f>
        <v>0.8462</v>
      </c>
      <c r="N116" s="15" t="n">
        <f aca="false">AVERAGE(M107:M116)</f>
        <v>0.88078</v>
      </c>
    </row>
    <row r="117" customFormat="false" ht="15" hidden="false" customHeight="false" outlineLevel="0" collapsed="false">
      <c r="L117" s="8" t="n">
        <f aca="false">Clean_Data!A114</f>
        <v>2002</v>
      </c>
      <c r="M117" s="15" t="n">
        <f aca="false">Clean_Data!J114</f>
        <v>0.5</v>
      </c>
      <c r="N117" s="15" t="n">
        <f aca="false">AVERAGE(M108:M117)</f>
        <v>0.85578</v>
      </c>
    </row>
    <row r="118" customFormat="false" ht="15" hidden="false" customHeight="false" outlineLevel="0" collapsed="false">
      <c r="L118" s="8" t="n">
        <f aca="false">Clean_Data!A115</f>
        <v>2003</v>
      </c>
      <c r="M118" s="15" t="n">
        <f aca="false">Clean_Data!J115</f>
        <v>0.7692</v>
      </c>
      <c r="N118" s="15" t="n">
        <f aca="false">AVERAGE(M109:M118)</f>
        <v>0.84103</v>
      </c>
    </row>
    <row r="119" customFormat="false" ht="15" hidden="false" customHeight="false" outlineLevel="0" collapsed="false">
      <c r="L119" s="8" t="n">
        <f aca="false">Clean_Data!A116</f>
        <v>2004</v>
      </c>
      <c r="M119" s="15" t="n">
        <f aca="false">Clean_Data!J116</f>
        <v>0.4545</v>
      </c>
      <c r="N119" s="15" t="n">
        <f aca="false">AVERAGE(M110:M119)</f>
        <v>0.78648</v>
      </c>
    </row>
    <row r="120" customFormat="false" ht="15" hidden="false" customHeight="false" outlineLevel="0" collapsed="false">
      <c r="L120" s="8" t="n">
        <f aca="false">Clean_Data!A117</f>
        <v>2005</v>
      </c>
      <c r="M120" s="15" t="n">
        <f aca="false">Clean_Data!J117</f>
        <v>0.6667</v>
      </c>
      <c r="N120" s="15" t="n">
        <f aca="false">AVERAGE(M111:M120)</f>
        <v>0.75315</v>
      </c>
    </row>
    <row r="121" customFormat="false" ht="15" hidden="false" customHeight="false" outlineLevel="0" collapsed="false">
      <c r="L121" s="8" t="n">
        <f aca="false">Clean_Data!A118</f>
        <v>2006</v>
      </c>
      <c r="M121" s="15" t="n">
        <f aca="false">Clean_Data!J118</f>
        <v>0.6429</v>
      </c>
      <c r="N121" s="15" t="n">
        <f aca="false">AVERAGE(M112:M121)</f>
        <v>0.73282</v>
      </c>
    </row>
    <row r="122" customFormat="false" ht="15" hidden="false" customHeight="false" outlineLevel="0" collapsed="false">
      <c r="L122" s="8" t="n">
        <f aca="false">Clean_Data!A119</f>
        <v>2007</v>
      </c>
      <c r="M122" s="15" t="n">
        <f aca="false">Clean_Data!J119</f>
        <v>0.4167</v>
      </c>
      <c r="N122" s="15" t="n">
        <f aca="false">AVERAGE(M113:M122)</f>
        <v>0.67449</v>
      </c>
    </row>
    <row r="123" customFormat="false" ht="15" hidden="false" customHeight="false" outlineLevel="0" collapsed="false">
      <c r="L123" s="8" t="n">
        <f aca="false">Clean_Data!A120</f>
        <v>2008</v>
      </c>
      <c r="M123" s="15" t="n">
        <f aca="false">Clean_Data!J120</f>
        <v>0.6923</v>
      </c>
      <c r="N123" s="15" t="n">
        <f aca="false">AVERAGE(M114:M123)</f>
        <v>0.67449</v>
      </c>
    </row>
    <row r="124" customFormat="false" ht="15" hidden="false" customHeight="false" outlineLevel="0" collapsed="false">
      <c r="L124" s="8" t="n">
        <f aca="false">Clean_Data!A121</f>
        <v>2009</v>
      </c>
      <c r="M124" s="15" t="n">
        <f aca="false">Clean_Data!J121</f>
        <v>0.7143</v>
      </c>
      <c r="N124" s="15" t="n">
        <f aca="false">AVERAGE(M115:M124)</f>
        <v>0.65361</v>
      </c>
    </row>
    <row r="125" customFormat="false" ht="15" hidden="false" customHeight="false" outlineLevel="0" collapsed="false">
      <c r="L125" s="8" t="n">
        <f aca="false">Clean_Data!A122</f>
        <v>2010</v>
      </c>
      <c r="M125" s="15" t="n">
        <f aca="false">Clean_Data!J122</f>
        <v>0.7143</v>
      </c>
      <c r="N125" s="15" t="n">
        <f aca="false">AVERAGE(M116:M125)</f>
        <v>0.64171</v>
      </c>
    </row>
    <row r="126" customFormat="false" ht="15" hidden="false" customHeight="false" outlineLevel="0" collapsed="false">
      <c r="L126" s="8" t="n">
        <f aca="false">Clean_Data!A123</f>
        <v>2011</v>
      </c>
      <c r="M126" s="15" t="n">
        <f aca="false">Clean_Data!J123</f>
        <v>0.6923</v>
      </c>
      <c r="N126" s="15" t="n">
        <f aca="false">AVERAGE(M117:M126)</f>
        <v>0.62632</v>
      </c>
    </row>
    <row r="127" customFormat="false" ht="15" hidden="false" customHeight="false" outlineLevel="0" collapsed="false">
      <c r="L127" s="8" t="n">
        <f aca="false">Clean_Data!A124</f>
        <v>2012</v>
      </c>
      <c r="M127" s="15" t="n">
        <f aca="false">Clean_Data!J124</f>
        <v>0.7143</v>
      </c>
      <c r="N127" s="15" t="n">
        <f aca="false">AVERAGE(M118:M127)</f>
        <v>0.64775</v>
      </c>
    </row>
    <row r="128" customFormat="false" ht="15" hidden="false" customHeight="false" outlineLevel="0" collapsed="false">
      <c r="L128" s="8" t="n">
        <f aca="false">Clean_Data!A125</f>
        <v>2013</v>
      </c>
      <c r="M128" s="15" t="n">
        <f aca="false">Clean_Data!J125</f>
        <v>0.6923</v>
      </c>
      <c r="N128" s="15" t="n">
        <f aca="false">AVERAGE(M119:M128)</f>
        <v>0.64006</v>
      </c>
    </row>
    <row r="129" customFormat="false" ht="15" hidden="false" customHeight="false" outlineLevel="0" collapsed="false">
      <c r="L129" s="8" t="n">
        <f aca="false">Clean_Data!A126</f>
        <v>2014</v>
      </c>
      <c r="M129" s="15" t="n">
        <f aca="false">Clean_Data!J126</f>
        <v>0.6923</v>
      </c>
      <c r="N129" s="15" t="n">
        <f aca="false">AVERAGE(M120:M129)</f>
        <v>0.66384</v>
      </c>
    </row>
    <row r="130" customFormat="false" ht="15" hidden="false" customHeight="false" outlineLevel="0" collapsed="false">
      <c r="L130" s="8" t="n">
        <f aca="false">Clean_Data!A127</f>
        <v>2015</v>
      </c>
      <c r="M130" s="15" t="n">
        <f aca="false">Clean_Data!J127</f>
        <v>0.4615</v>
      </c>
      <c r="N130" s="15" t="n">
        <f aca="false">AVERAGE(M121:M130)</f>
        <v>0.64332</v>
      </c>
    </row>
    <row r="131" customFormat="false" ht="15" hidden="false" customHeight="false" outlineLevel="0" collapsed="false">
      <c r="L131" s="8" t="n">
        <f aca="false">Clean_Data!A128</f>
        <v>2016</v>
      </c>
      <c r="M131" s="15" t="n">
        <f aca="false">Clean_Data!J128</f>
        <v>0.6923</v>
      </c>
      <c r="N131" s="15" t="n">
        <f aca="false">AVERAGE(M122:M131)</f>
        <v>0.64826</v>
      </c>
    </row>
    <row r="132" customFormat="false" ht="15" hidden="false" customHeight="false" outlineLevel="0" collapsed="false">
      <c r="L132" s="8" t="n">
        <f aca="false">Clean_Data!A129</f>
        <v>2017</v>
      </c>
      <c r="M132" s="15" t="n">
        <f aca="false">Clean_Data!J129</f>
        <v>0.3333</v>
      </c>
      <c r="N132" s="15" t="n">
        <f aca="false">AVERAGE(M123:M132)</f>
        <v>0.63992</v>
      </c>
    </row>
    <row r="133" customFormat="false" ht="15" hidden="false" customHeight="false" outlineLevel="0" collapsed="false">
      <c r="L133" s="8" t="n">
        <f aca="false">Clean_Data!A130</f>
        <v>2018</v>
      </c>
      <c r="M133" s="15" t="n">
        <f aca="false">Clean_Data!J130</f>
        <v>0.3333</v>
      </c>
      <c r="N133" s="15" t="n">
        <f aca="false">AVERAGE(M124:M133)</f>
        <v>0.60402</v>
      </c>
    </row>
    <row r="134" customFormat="false" ht="15" hidden="false" customHeight="false" outlineLevel="0" collapsed="false">
      <c r="L134" s="8" t="n">
        <f aca="false">Clean_Data!A131</f>
        <v>2019</v>
      </c>
      <c r="M134" s="15" t="n">
        <f aca="false">Clean_Data!J131</f>
        <v>0.4167</v>
      </c>
      <c r="N134" s="15" t="n">
        <f aca="false">AVERAGE(M125:M134)</f>
        <v>0.57426</v>
      </c>
    </row>
    <row r="135" customFormat="false" ht="15" hidden="false" customHeight="false" outlineLevel="0" collapsed="false">
      <c r="L135" s="8" t="n">
        <f aca="false">Clean_Data!A132</f>
        <v>2020</v>
      </c>
      <c r="M135" s="15" t="n">
        <f aca="false">Clean_Data!J132</f>
        <v>0.375</v>
      </c>
      <c r="N135" s="15" t="n">
        <f aca="false">AVERAGE(M126:M135)</f>
        <v>0.54033</v>
      </c>
    </row>
    <row r="136" customFormat="false" ht="15" hidden="false" customHeight="false" outlineLevel="0" collapsed="false">
      <c r="L136" s="8" t="n">
        <f aca="false">Clean_Data!A133</f>
        <v>2021</v>
      </c>
      <c r="M136" s="15" t="n">
        <f aca="false">Clean_Data!J133</f>
        <v>0.25</v>
      </c>
      <c r="N136" s="15" t="n">
        <f aca="false">AVERAGE(M127:M136)</f>
        <v>0.4961</v>
      </c>
    </row>
    <row r="137" customFormat="false" ht="15" hidden="false" customHeight="false" outlineLevel="0" collapsed="false">
      <c r="L137" s="8" t="n">
        <f aca="false">Clean_Data!A134</f>
        <v>2022</v>
      </c>
      <c r="M137" s="15" t="n">
        <f aca="false">Clean_Data!J134</f>
        <v>0.3333</v>
      </c>
      <c r="N137" s="15" t="n">
        <f aca="false">AVERAGE(M128:M137)</f>
        <v>0.458</v>
      </c>
    </row>
    <row r="138" customFormat="false" ht="15" hidden="false" customHeight="false" outlineLevel="0" collapsed="false">
      <c r="L138" s="8" t="n">
        <f aca="false">Clean_Data!A135</f>
        <v>2023</v>
      </c>
      <c r="M138" s="15" t="n">
        <f aca="false">Clean_Data!J135</f>
        <v>0.4167</v>
      </c>
      <c r="N138" s="15" t="n">
        <f aca="false">AVERAGE(M129:M138)</f>
        <v>0.43044</v>
      </c>
    </row>
    <row r="139" customFormat="false" ht="15" hidden="false" customHeight="false" outlineLevel="0" collapsed="false">
      <c r="L139" s="8" t="n">
        <f aca="false">Clean_Data!A136</f>
        <v>2024</v>
      </c>
      <c r="M139" s="15" t="n">
        <f aca="false">Clean_Data!J136</f>
        <v>0.5385</v>
      </c>
      <c r="N139" s="15" t="n">
        <f aca="false">AVERAGE(M130:M139)</f>
        <v>0.41506</v>
      </c>
    </row>
    <row r="140" customFormat="false" ht="15" hidden="false" customHeight="false" outlineLevel="0" collapsed="false">
      <c r="L140" s="8" t="n">
        <f aca="false">Clean_Data!A137</f>
        <v>2025</v>
      </c>
      <c r="M140" s="15" t="n">
        <f aca="false">Clean_Data!J137</f>
        <v>0.5385</v>
      </c>
      <c r="N140" s="15" t="n">
        <f aca="false">AVERAGE(M131:M140)</f>
        <v>0.42276</v>
      </c>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s>
  <sheetData>
    <row r="1" customFormat="false" ht="19.7" hidden="false" customHeight="false" outlineLevel="0" collapsed="false">
      <c r="A1" s="13" t="s">
        <v>490</v>
      </c>
    </row>
    <row r="2" customFormat="false" ht="15" hidden="false" customHeight="true" outlineLevel="0" collapsed="false">
      <c r="A2" s="14" t="s">
        <v>491</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15" hidden="false" customHeight="false" outlineLevel="0" collapsed="false">
      <c r="L4" s="7" t="s">
        <v>403</v>
      </c>
      <c r="M4" s="7" t="s">
        <v>492</v>
      </c>
      <c r="N4" s="7" t="s">
        <v>406</v>
      </c>
      <c r="O4" s="7" t="s">
        <v>407</v>
      </c>
      <c r="P4" s="7" t="s">
        <v>408</v>
      </c>
      <c r="Q4" s="7" t="s">
        <v>486</v>
      </c>
    </row>
    <row r="5" customFormat="false" ht="15" hidden="false" customHeight="false" outlineLevel="0" collapsed="false">
      <c r="L5" s="8" t="s">
        <v>426</v>
      </c>
      <c r="M5" s="8" t="n">
        <f aca="false">COUNTIF(Clean_Data!$B$2:$B$137,L5)</f>
        <v>10</v>
      </c>
      <c r="N5" s="8" t="n">
        <f aca="false">SUMIF(Clean_Data!$B$2:$B$137,L5,Clean_Data!$F$2:$F$137)</f>
        <v>41</v>
      </c>
      <c r="O5" s="8" t="n">
        <f aca="false">SUMIF(Clean_Data!$B$2:$B$137,L5,Clean_Data!$G$2:$G$137)</f>
        <v>25</v>
      </c>
      <c r="P5" s="8" t="n">
        <f aca="false">SUMIF(Clean_Data!$B$2:$B$137,L5,Clean_Data!$H$2:$H$137)</f>
        <v>4</v>
      </c>
      <c r="Q5" s="19" t="n">
        <f aca="false">(N5+0.5*P5)/(N5+O5+P5)</f>
        <v>0.614285714285714</v>
      </c>
    </row>
    <row r="6" customFormat="false" ht="15" hidden="false" customHeight="false" outlineLevel="0" collapsed="false">
      <c r="L6" s="8" t="s">
        <v>430</v>
      </c>
      <c r="M6" s="8" t="n">
        <f aca="false">COUNTIF(Clean_Data!$B$2:$B$137,L6)</f>
        <v>10</v>
      </c>
      <c r="N6" s="8" t="n">
        <f aca="false">SUMIF(Clean_Data!$B$2:$B$137,L6,Clean_Data!$F$2:$F$137)</f>
        <v>70</v>
      </c>
      <c r="O6" s="8" t="n">
        <f aca="false">SUMIF(Clean_Data!$B$2:$B$137,L6,Clean_Data!$G$2:$G$137)</f>
        <v>19</v>
      </c>
      <c r="P6" s="8" t="n">
        <f aca="false">SUMIF(Clean_Data!$B$2:$B$137,L6,Clean_Data!$H$2:$H$137)</f>
        <v>4</v>
      </c>
      <c r="Q6" s="19" t="n">
        <f aca="false">(N6+0.5*P6)/(N6+O6+P6)</f>
        <v>0.774193548387097</v>
      </c>
    </row>
    <row r="7" customFormat="false" ht="15" hidden="false" customHeight="false" outlineLevel="0" collapsed="false">
      <c r="L7" s="8" t="s">
        <v>432</v>
      </c>
      <c r="M7" s="8" t="n">
        <f aca="false">COUNTIF(Clean_Data!$B$2:$B$137,L7)</f>
        <v>10</v>
      </c>
      <c r="N7" s="8" t="n">
        <f aca="false">SUMIF(Clean_Data!$B$2:$B$137,L7,Clean_Data!$F$2:$F$137)</f>
        <v>58</v>
      </c>
      <c r="O7" s="8" t="n">
        <f aca="false">SUMIF(Clean_Data!$B$2:$B$137,L7,Clean_Data!$G$2:$G$137)</f>
        <v>13</v>
      </c>
      <c r="P7" s="8" t="n">
        <f aca="false">SUMIF(Clean_Data!$B$2:$B$137,L7,Clean_Data!$H$2:$H$137)</f>
        <v>6</v>
      </c>
      <c r="Q7" s="19" t="n">
        <f aca="false">(N7+0.5*P7)/(N7+O7+P7)</f>
        <v>0.792207792207792</v>
      </c>
    </row>
    <row r="8" customFormat="false" ht="15" hidden="false" customHeight="false" outlineLevel="0" collapsed="false">
      <c r="L8" s="8" t="s">
        <v>433</v>
      </c>
      <c r="M8" s="8" t="n">
        <f aca="false">COUNTIF(Clean_Data!$B$2:$B$137,L8)</f>
        <v>10</v>
      </c>
      <c r="N8" s="8" t="n">
        <f aca="false">SUMIF(Clean_Data!$B$2:$B$137,L8,Clean_Data!$F$2:$F$137)</f>
        <v>55</v>
      </c>
      <c r="O8" s="8" t="n">
        <f aca="false">SUMIF(Clean_Data!$B$2:$B$137,L8,Clean_Data!$G$2:$G$137)</f>
        <v>18</v>
      </c>
      <c r="P8" s="8" t="n">
        <f aca="false">SUMIF(Clean_Data!$B$2:$B$137,L8,Clean_Data!$H$2:$H$137)</f>
        <v>9</v>
      </c>
      <c r="Q8" s="19" t="n">
        <f aca="false">(N8+0.5*P8)/(N8+O8+P8)</f>
        <v>0.725609756097561</v>
      </c>
    </row>
    <row r="9" customFormat="false" ht="15" hidden="false" customHeight="false" outlineLevel="0" collapsed="false">
      <c r="L9" s="8" t="s">
        <v>434</v>
      </c>
      <c r="M9" s="8" t="n">
        <f aca="false">COUNTIF(Clean_Data!$B$2:$B$137,L9)</f>
        <v>10</v>
      </c>
      <c r="N9" s="8" t="n">
        <f aca="false">SUMIF(Clean_Data!$B$2:$B$137,L9,Clean_Data!$F$2:$F$137)</f>
        <v>62</v>
      </c>
      <c r="O9" s="8" t="n">
        <f aca="false">SUMIF(Clean_Data!$B$2:$B$137,L9,Clean_Data!$G$2:$G$137)</f>
        <v>21</v>
      </c>
      <c r="P9" s="8" t="n">
        <f aca="false">SUMIF(Clean_Data!$B$2:$B$137,L9,Clean_Data!$H$2:$H$137)</f>
        <v>8</v>
      </c>
      <c r="Q9" s="19" t="n">
        <f aca="false">(N9+0.5*P9)/(N9+O9+P9)</f>
        <v>0.725274725274725</v>
      </c>
    </row>
    <row r="10" customFormat="false" ht="15" hidden="false" customHeight="false" outlineLevel="0" collapsed="false">
      <c r="L10" s="8" t="s">
        <v>435</v>
      </c>
      <c r="M10" s="8" t="n">
        <f aca="false">COUNTIF(Clean_Data!$B$2:$B$137,L10)</f>
        <v>10</v>
      </c>
      <c r="N10" s="8" t="n">
        <f aca="false">SUMIF(Clean_Data!$B$2:$B$137,L10,Clean_Data!$F$2:$F$137)</f>
        <v>34</v>
      </c>
      <c r="O10" s="8" t="n">
        <f aca="false">SUMIF(Clean_Data!$B$2:$B$137,L10,Clean_Data!$G$2:$G$137)</f>
        <v>57</v>
      </c>
      <c r="P10" s="8" t="n">
        <f aca="false">SUMIF(Clean_Data!$B$2:$B$137,L10,Clean_Data!$H$2:$H$137)</f>
        <v>0</v>
      </c>
      <c r="Q10" s="19" t="n">
        <f aca="false">(N10+0.5*P10)/(N10+O10+P10)</f>
        <v>0.373626373626374</v>
      </c>
    </row>
    <row r="11" customFormat="false" ht="15" hidden="false" customHeight="false" outlineLevel="0" collapsed="false">
      <c r="L11" s="8" t="s">
        <v>438</v>
      </c>
      <c r="M11" s="8" t="n">
        <f aca="false">COUNTIF(Clean_Data!$B$2:$B$137,L11)</f>
        <v>10</v>
      </c>
      <c r="N11" s="8" t="n">
        <f aca="false">SUMIF(Clean_Data!$B$2:$B$137,L11,Clean_Data!$F$2:$F$137)</f>
        <v>39</v>
      </c>
      <c r="O11" s="8" t="n">
        <f aca="false">SUMIF(Clean_Data!$B$2:$B$137,L11,Clean_Data!$G$2:$G$137)</f>
        <v>58</v>
      </c>
      <c r="P11" s="8" t="n">
        <f aca="false">SUMIF(Clean_Data!$B$2:$B$137,L11,Clean_Data!$H$2:$H$137)</f>
        <v>3</v>
      </c>
      <c r="Q11" s="19" t="n">
        <f aca="false">(N11+0.5*P11)/(N11+O11+P11)</f>
        <v>0.405</v>
      </c>
    </row>
    <row r="12" customFormat="false" ht="15" hidden="false" customHeight="false" outlineLevel="0" collapsed="false">
      <c r="L12" s="8" t="s">
        <v>440</v>
      </c>
      <c r="M12" s="8" t="n">
        <f aca="false">COUNTIF(Clean_Data!$B$2:$B$137,L12)</f>
        <v>10</v>
      </c>
      <c r="N12" s="8" t="n">
        <f aca="false">SUMIF(Clean_Data!$B$2:$B$137,L12,Clean_Data!$F$2:$F$137)</f>
        <v>75</v>
      </c>
      <c r="O12" s="8" t="n">
        <f aca="false">SUMIF(Clean_Data!$B$2:$B$137,L12,Clean_Data!$G$2:$G$137)</f>
        <v>30</v>
      </c>
      <c r="P12" s="8" t="n">
        <f aca="false">SUMIF(Clean_Data!$B$2:$B$137,L12,Clean_Data!$H$2:$H$137)</f>
        <v>1</v>
      </c>
      <c r="Q12" s="19" t="n">
        <f aca="false">(N12+0.5*P12)/(N12+O12+P12)</f>
        <v>0.712264150943396</v>
      </c>
    </row>
    <row r="13" customFormat="false" ht="15" hidden="false" customHeight="false" outlineLevel="0" collapsed="false">
      <c r="L13" s="8" t="s">
        <v>447</v>
      </c>
      <c r="M13" s="8" t="n">
        <f aca="false">COUNTIF(Clean_Data!$B$2:$B$137,L13)</f>
        <v>10</v>
      </c>
      <c r="N13" s="8" t="n">
        <f aca="false">SUMIF(Clean_Data!$B$2:$B$137,L13,Clean_Data!$F$2:$F$137)</f>
        <v>98</v>
      </c>
      <c r="O13" s="8" t="n">
        <f aca="false">SUMIF(Clean_Data!$B$2:$B$137,L13,Clean_Data!$G$2:$G$137)</f>
        <v>20</v>
      </c>
      <c r="P13" s="8" t="n">
        <f aca="false">SUMIF(Clean_Data!$B$2:$B$137,L13,Clean_Data!$H$2:$H$137)</f>
        <v>4</v>
      </c>
      <c r="Q13" s="19" t="n">
        <f aca="false">(N13+0.5*P13)/(N13+O13+P13)</f>
        <v>0.819672131147541</v>
      </c>
    </row>
    <row r="14" customFormat="false" ht="15" hidden="false" customHeight="false" outlineLevel="0" collapsed="false">
      <c r="L14" s="8" t="s">
        <v>451</v>
      </c>
      <c r="M14" s="8" t="n">
        <f aca="false">COUNTIF(Clean_Data!$B$2:$B$137,L14)</f>
        <v>10</v>
      </c>
      <c r="N14" s="8" t="n">
        <f aca="false">SUMIF(Clean_Data!$B$2:$B$137,L14,Clean_Data!$F$2:$F$137)</f>
        <v>103</v>
      </c>
      <c r="O14" s="8" t="n">
        <f aca="false">SUMIF(Clean_Data!$B$2:$B$137,L14,Clean_Data!$G$2:$G$137)</f>
        <v>20</v>
      </c>
      <c r="P14" s="8" t="n">
        <f aca="false">SUMIF(Clean_Data!$B$2:$B$137,L14,Clean_Data!$H$2:$H$137)</f>
        <v>0</v>
      </c>
      <c r="Q14" s="19" t="n">
        <f aca="false">(N14+0.5*P14)/(N14+O14+P14)</f>
        <v>0.83739837398374</v>
      </c>
    </row>
    <row r="15" customFormat="false" ht="15" hidden="false" customHeight="false" outlineLevel="0" collapsed="false">
      <c r="L15" s="8" t="s">
        <v>452</v>
      </c>
      <c r="M15" s="8" t="n">
        <f aca="false">COUNTIF(Clean_Data!$B$2:$B$137,L15)</f>
        <v>10</v>
      </c>
      <c r="N15" s="8" t="n">
        <f aca="false">SUMIF(Clean_Data!$B$2:$B$137,L15,Clean_Data!$F$2:$F$137)</f>
        <v>108</v>
      </c>
      <c r="O15" s="8" t="n">
        <f aca="false">SUMIF(Clean_Data!$B$2:$B$137,L15,Clean_Data!$G$2:$G$137)</f>
        <v>16</v>
      </c>
      <c r="P15" s="8" t="n">
        <f aca="false">SUMIF(Clean_Data!$B$2:$B$137,L15,Clean_Data!$H$2:$H$137)</f>
        <v>1</v>
      </c>
      <c r="Q15" s="19" t="n">
        <f aca="false">(N15+0.5*P15)/(N15+O15+P15)</f>
        <v>0.868</v>
      </c>
    </row>
    <row r="16" customFormat="false" ht="15" hidden="false" customHeight="false" outlineLevel="0" collapsed="false">
      <c r="L16" s="8" t="s">
        <v>457</v>
      </c>
      <c r="M16" s="8" t="n">
        <f aca="false">COUNTIF(Clean_Data!$B$2:$B$137,L16)</f>
        <v>10</v>
      </c>
      <c r="N16" s="8" t="n">
        <f aca="false">SUMIF(Clean_Data!$B$2:$B$137,L16,Clean_Data!$F$2:$F$137)</f>
        <v>84</v>
      </c>
      <c r="O16" s="8" t="n">
        <f aca="false">SUMIF(Clean_Data!$B$2:$B$137,L16,Clean_Data!$G$2:$G$137)</f>
        <v>44</v>
      </c>
      <c r="P16" s="8" t="n">
        <f aca="false">SUMIF(Clean_Data!$B$2:$B$137,L16,Clean_Data!$H$2:$H$137)</f>
        <v>0</v>
      </c>
      <c r="Q16" s="19" t="n">
        <f aca="false">(N16+0.5*P16)/(N16+O16+P16)</f>
        <v>0.65625</v>
      </c>
    </row>
    <row r="17" customFormat="false" ht="15" hidden="false" customHeight="false" outlineLevel="0" collapsed="false">
      <c r="L17" s="8" t="s">
        <v>461</v>
      </c>
      <c r="M17" s="8" t="n">
        <f aca="false">COUNTIF(Clean_Data!$B$2:$B$137,L17)</f>
        <v>10</v>
      </c>
      <c r="N17" s="8" t="n">
        <f aca="false">SUMIF(Clean_Data!$B$2:$B$137,L17,Clean_Data!$F$2:$F$137)</f>
        <v>75</v>
      </c>
      <c r="O17" s="8" t="n">
        <f aca="false">SUMIF(Clean_Data!$B$2:$B$137,L17,Clean_Data!$G$2:$G$137)</f>
        <v>54</v>
      </c>
      <c r="P17" s="8" t="n">
        <f aca="false">SUMIF(Clean_Data!$B$2:$B$137,L17,Clean_Data!$H$2:$H$137)</f>
        <v>0</v>
      </c>
      <c r="Q17" s="19" t="n">
        <f aca="false">(N17+0.5*P17)/(N17+O17+P17)</f>
        <v>0.581395348837209</v>
      </c>
    </row>
    <row r="18" customFormat="false" ht="15" hidden="false" customHeight="false" outlineLevel="0" collapsed="false">
      <c r="L18" s="8" t="s">
        <v>468</v>
      </c>
      <c r="M18" s="8" t="n">
        <f aca="false">COUNTIF(Clean_Data!$B$2:$B$137,L18)</f>
        <v>6</v>
      </c>
      <c r="N18" s="8" t="n">
        <f aca="false">SUMIF(Clean_Data!$B$2:$B$137,L18,Clean_Data!$F$2:$F$137)</f>
        <v>29</v>
      </c>
      <c r="O18" s="8" t="n">
        <f aca="false">SUMIF(Clean_Data!$B$2:$B$137,L18,Clean_Data!$G$2:$G$137)</f>
        <v>41</v>
      </c>
      <c r="P18" s="8" t="n">
        <f aca="false">SUMIF(Clean_Data!$B$2:$B$137,L18,Clean_Data!$H$2:$H$137)</f>
        <v>0</v>
      </c>
      <c r="Q18" s="19" t="n">
        <f aca="false">(N18+0.5*P18)/(N18+O18+P18)</f>
        <v>0.414285714285714</v>
      </c>
    </row>
    <row r="19" customFormat="false" ht="15" hidden="false" customHeight="false" outlineLevel="0" collapsed="false">
      <c r="L19" s="20" t="s">
        <v>493</v>
      </c>
    </row>
    <row r="26" customFormat="false" ht="15" hidden="false" customHeight="false" outlineLevel="0" collapsed="false">
      <c r="A26" s="16" t="s">
        <v>488</v>
      </c>
      <c r="B26" s="17"/>
      <c r="C26" s="17"/>
      <c r="D26" s="17"/>
      <c r="E26" s="17"/>
      <c r="F26" s="17"/>
      <c r="G26" s="17"/>
      <c r="H26" s="17"/>
      <c r="I26" s="17"/>
      <c r="J26" s="17"/>
    </row>
    <row r="27" customFormat="false" ht="15" hidden="false" customHeight="true" outlineLevel="0" collapsed="false">
      <c r="A27" s="18" t="s">
        <v>494</v>
      </c>
      <c r="B27" s="18"/>
      <c r="C27" s="18"/>
      <c r="D27" s="18"/>
      <c r="E27" s="18"/>
      <c r="F27" s="18"/>
      <c r="G27" s="18"/>
      <c r="H27" s="18"/>
      <c r="I27" s="18"/>
      <c r="J27" s="18"/>
    </row>
    <row r="28" customFormat="false" ht="15" hidden="false" customHeight="false" outlineLevel="0" collapsed="false">
      <c r="A28" s="18"/>
      <c r="B28" s="18"/>
      <c r="C28" s="18"/>
      <c r="D28" s="18"/>
      <c r="E28" s="18"/>
      <c r="F28" s="18"/>
      <c r="G28" s="18"/>
      <c r="H28" s="18"/>
      <c r="I28" s="18"/>
      <c r="J28" s="18"/>
    </row>
    <row r="29" customFormat="false" ht="15" hidden="false" customHeight="false" outlineLevel="0" collapsed="false">
      <c r="A29" s="18"/>
      <c r="B29" s="18"/>
      <c r="C29" s="18"/>
      <c r="D29" s="18"/>
      <c r="E29" s="18"/>
      <c r="F29" s="18"/>
      <c r="G29" s="18"/>
      <c r="H29" s="18"/>
      <c r="I29" s="18"/>
      <c r="J29" s="18"/>
    </row>
    <row r="30" customFormat="false" ht="15" hidden="false" customHeight="false" outlineLevel="0" collapsed="false">
      <c r="A30" s="18"/>
      <c r="B30" s="18"/>
      <c r="C30" s="18"/>
      <c r="D30" s="18"/>
      <c r="E30" s="18"/>
      <c r="F30" s="18"/>
      <c r="G30" s="18"/>
      <c r="H30" s="18"/>
      <c r="I30" s="18"/>
      <c r="J30" s="18"/>
    </row>
    <row r="31" customFormat="false" ht="15" hidden="false" customHeight="false" outlineLevel="0" collapsed="false">
      <c r="A31" s="18"/>
      <c r="B31" s="18"/>
      <c r="C31" s="18"/>
      <c r="D31" s="18"/>
      <c r="E31" s="18"/>
      <c r="F31" s="18"/>
      <c r="G31" s="18"/>
      <c r="H31" s="18"/>
      <c r="I31" s="18"/>
      <c r="J31" s="18"/>
    </row>
    <row r="32" customFormat="false" ht="15" hidden="false" customHeight="false" outlineLevel="0" collapsed="false">
      <c r="A32" s="18"/>
      <c r="B32" s="18"/>
      <c r="C32" s="18"/>
      <c r="D32" s="18"/>
      <c r="E32" s="18"/>
      <c r="F32" s="18"/>
      <c r="G32" s="18"/>
      <c r="H32" s="18"/>
      <c r="I32" s="18"/>
      <c r="J32" s="18"/>
    </row>
    <row r="33" customFormat="false" ht="15" hidden="false" customHeight="false" outlineLevel="0" collapsed="false">
      <c r="A33" s="18"/>
      <c r="B33" s="18"/>
      <c r="C33" s="18"/>
      <c r="D33" s="18"/>
      <c r="E33" s="18"/>
      <c r="F33" s="18"/>
      <c r="G33" s="18"/>
      <c r="H33" s="18"/>
      <c r="I33" s="18"/>
      <c r="J33" s="18"/>
    </row>
    <row r="34" customFormat="false" ht="15" hidden="false" customHeight="false" outlineLevel="0" collapsed="false">
      <c r="A34" s="18"/>
      <c r="B34" s="18"/>
      <c r="C34" s="18"/>
      <c r="D34" s="18"/>
      <c r="E34" s="18"/>
      <c r="F34" s="18"/>
      <c r="G34" s="18"/>
      <c r="H34" s="18"/>
      <c r="I34" s="18"/>
      <c r="J34" s="18"/>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 collapsed="false" customWidth="true" hidden="false" outlineLevel="0" max="12" min="12" style="0" width="16"/>
    <col collapsed="false" customWidth="true" hidden="false" outlineLevel="0" max="21" min="21" style="0" width="26"/>
  </cols>
  <sheetData>
    <row r="1" customFormat="false" ht="19.7" hidden="false" customHeight="false" outlineLevel="0" collapsed="false">
      <c r="A1" s="13" t="s">
        <v>495</v>
      </c>
    </row>
    <row r="2" customFormat="false" ht="15" hidden="false" customHeight="true" outlineLevel="0" collapsed="false">
      <c r="A2" s="14" t="s">
        <v>496</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23.85" hidden="false" customHeight="false" outlineLevel="0" collapsed="false">
      <c r="L4" s="7" t="s">
        <v>497</v>
      </c>
      <c r="M4" s="7" t="s">
        <v>492</v>
      </c>
      <c r="N4" s="7" t="s">
        <v>406</v>
      </c>
      <c r="O4" s="7" t="s">
        <v>407</v>
      </c>
      <c r="P4" s="7" t="s">
        <v>408</v>
      </c>
      <c r="Q4" s="7" t="s">
        <v>486</v>
      </c>
      <c r="R4" s="7" t="s">
        <v>498</v>
      </c>
      <c r="S4" s="7" t="s">
        <v>499</v>
      </c>
      <c r="U4" s="7" t="s">
        <v>500</v>
      </c>
    </row>
    <row r="5" customFormat="false" ht="15" hidden="false" customHeight="false" outlineLevel="0" collapsed="false">
      <c r="L5" s="8" t="s">
        <v>260</v>
      </c>
      <c r="M5" s="8" t="n">
        <f aca="false">COUNTIF(Clean_Data!$C$2:$C$137,L5)</f>
        <v>25</v>
      </c>
      <c r="N5" s="8" t="n">
        <f aca="false">SUMIF(Clean_Data!$C$2:$C$137,L5,Clean_Data!$F$2:$F$137)</f>
        <v>255</v>
      </c>
      <c r="O5" s="8" t="n">
        <f aca="false">SUMIF(Clean_Data!$C$2:$C$137,L5,Clean_Data!$G$2:$G$137)</f>
        <v>49</v>
      </c>
      <c r="P5" s="8" t="n">
        <f aca="false">SUMIF(Clean_Data!$C$2:$C$137,L5,Clean_Data!$H$2:$H$137)</f>
        <v>3</v>
      </c>
      <c r="Q5" s="19" t="n">
        <f aca="false">(N5+0.5*P5)/(N5+O5+P5)</f>
        <v>0.835504885993485</v>
      </c>
      <c r="R5" s="8" t="n">
        <f aca="false">COUNTIFS(Clean_Data!$C$2:$C$137,L5,Clean_Data!$R$2:$R$137,"Yes")</f>
        <v>25</v>
      </c>
      <c r="S5" s="8" t="n">
        <f aca="false">COUNTIFS(Clean_Data!$C$2:$C$137,L5,Clean_Data!$X$2:$X$137,"Yes")</f>
        <v>25</v>
      </c>
      <c r="U5" s="8" t="str">
        <f aca="false">L5&amp;" (1973-1997)"</f>
        <v>Tom Osborne (1973-1997)</v>
      </c>
    </row>
    <row r="6" customFormat="false" ht="15" hidden="false" customHeight="false" outlineLevel="0" collapsed="false">
      <c r="L6" s="8" t="s">
        <v>227</v>
      </c>
      <c r="M6" s="8" t="n">
        <f aca="false">COUNTIF(Clean_Data!$C$2:$C$137,L6)</f>
        <v>11</v>
      </c>
      <c r="N6" s="8" t="n">
        <f aca="false">SUMIF(Clean_Data!$C$2:$C$137,L6,Clean_Data!$F$2:$F$137)</f>
        <v>101</v>
      </c>
      <c r="O6" s="8" t="n">
        <f aca="false">SUMIF(Clean_Data!$C$2:$C$137,L6,Clean_Data!$G$2:$G$137)</f>
        <v>20</v>
      </c>
      <c r="P6" s="8" t="n">
        <f aca="false">SUMIF(Clean_Data!$C$2:$C$137,L6,Clean_Data!$H$2:$H$137)</f>
        <v>2</v>
      </c>
      <c r="Q6" s="19" t="n">
        <f aca="false">(N6+0.5*P6)/(N6+O6+P6)</f>
        <v>0.829268292682927</v>
      </c>
      <c r="R6" s="8" t="n">
        <f aca="false">COUNTIFS(Clean_Data!$C$2:$C$137,L6,Clean_Data!$R$2:$R$137,"Yes")</f>
        <v>9</v>
      </c>
      <c r="S6" s="8" t="n">
        <f aca="false">COUNTIFS(Clean_Data!$C$2:$C$137,L6,Clean_Data!$X$2:$X$137,"Yes")</f>
        <v>8</v>
      </c>
      <c r="U6" s="8" t="str">
        <f aca="false">L6&amp;" (1962-1972)"</f>
        <v>Bob Devaney (1962-1972)</v>
      </c>
    </row>
    <row r="7" customFormat="false" ht="15" hidden="false" customHeight="false" outlineLevel="0" collapsed="false">
      <c r="L7" s="8" t="s">
        <v>317</v>
      </c>
      <c r="M7" s="8" t="n">
        <f aca="false">COUNTIF(Clean_Data!$C$2:$C$137,L7)</f>
        <v>6</v>
      </c>
      <c r="N7" s="8" t="n">
        <f aca="false">SUMIF(Clean_Data!$C$2:$C$137,L7,Clean_Data!$F$2:$F$137)</f>
        <v>59</v>
      </c>
      <c r="O7" s="8" t="n">
        <f aca="false">SUMIF(Clean_Data!$C$2:$C$137,L7,Clean_Data!$G$2:$G$137)</f>
        <v>19</v>
      </c>
      <c r="P7" s="8" t="n">
        <f aca="false">SUMIF(Clean_Data!$C$2:$C$137,L7,Clean_Data!$H$2:$H$137)</f>
        <v>0</v>
      </c>
      <c r="Q7" s="19" t="n">
        <f aca="false">(N7+0.5*P7)/(N7+O7+P7)</f>
        <v>0.756410256410256</v>
      </c>
      <c r="R7" s="8" t="n">
        <f aca="false">COUNTIFS(Clean_Data!$C$2:$C$137,L7,Clean_Data!$R$2:$R$137,"Yes")</f>
        <v>6</v>
      </c>
      <c r="S7" s="8" t="n">
        <f aca="false">COUNTIFS(Clean_Data!$C$2:$C$137,L7,Clean_Data!$X$2:$X$137,"Yes")</f>
        <v>5</v>
      </c>
      <c r="U7" s="8" t="str">
        <f aca="false">L7&amp;" (1998-2003)"</f>
        <v>Frank Solich (1998-2003)</v>
      </c>
    </row>
    <row r="8" customFormat="false" ht="15" hidden="false" customHeight="false" outlineLevel="0" collapsed="false">
      <c r="L8" s="8" t="s">
        <v>350</v>
      </c>
      <c r="M8" s="8" t="n">
        <f aca="false">COUNTIF(Clean_Data!$C$2:$C$137,L8)</f>
        <v>7</v>
      </c>
      <c r="N8" s="8" t="n">
        <f aca="false">SUMIF(Clean_Data!$C$2:$C$137,L8,Clean_Data!$F$2:$F$137)</f>
        <v>66</v>
      </c>
      <c r="O8" s="8" t="n">
        <f aca="false">SUMIF(Clean_Data!$C$2:$C$137,L8,Clean_Data!$G$2:$G$137)</f>
        <v>28</v>
      </c>
      <c r="P8" s="8" t="n">
        <f aca="false">SUMIF(Clean_Data!$C$2:$C$137,L8,Clean_Data!$H$2:$H$137)</f>
        <v>0</v>
      </c>
      <c r="Q8" s="19" t="n">
        <f aca="false">(N8+0.5*P8)/(N8+O8+P8)</f>
        <v>0.702127659574468</v>
      </c>
      <c r="R8" s="8" t="n">
        <f aca="false">COUNTIFS(Clean_Data!$C$2:$C$137,L8,Clean_Data!$R$2:$R$137,"Yes")</f>
        <v>7</v>
      </c>
      <c r="S8" s="8" t="n">
        <f aca="false">COUNTIFS(Clean_Data!$C$2:$C$137,L8,Clean_Data!$X$2:$X$137,"Yes")</f>
        <v>4</v>
      </c>
      <c r="U8" s="8" t="str">
        <f aca="false">L8&amp;" (2008-2014)"</f>
        <v>Bo Pelini (2008-2014)</v>
      </c>
    </row>
    <row r="9" customFormat="false" ht="15" hidden="false" customHeight="false" outlineLevel="0" collapsed="false">
      <c r="L9" s="8" t="s">
        <v>338</v>
      </c>
      <c r="M9" s="8" t="n">
        <f aca="false">COUNTIF(Clean_Data!$C$2:$C$137,L9)</f>
        <v>4</v>
      </c>
      <c r="N9" s="8" t="n">
        <f aca="false">SUMIF(Clean_Data!$C$2:$C$137,L9,Clean_Data!$F$2:$F$137)</f>
        <v>27</v>
      </c>
      <c r="O9" s="8" t="n">
        <f aca="false">SUMIF(Clean_Data!$C$2:$C$137,L9,Clean_Data!$G$2:$G$137)</f>
        <v>22</v>
      </c>
      <c r="P9" s="8" t="n">
        <f aca="false">SUMIF(Clean_Data!$C$2:$C$137,L9,Clean_Data!$H$2:$H$137)</f>
        <v>0</v>
      </c>
      <c r="Q9" s="19" t="n">
        <f aca="false">(N9+0.5*P9)/(N9+O9+P9)</f>
        <v>0.551020408163265</v>
      </c>
      <c r="R9" s="8" t="n">
        <f aca="false">COUNTIFS(Clean_Data!$C$2:$C$137,L9,Clean_Data!$R$2:$R$137,"Yes")</f>
        <v>2</v>
      </c>
      <c r="S9" s="8" t="n">
        <f aca="false">COUNTIFS(Clean_Data!$C$2:$C$137,L9,Clean_Data!$X$2:$X$137,"Yes")</f>
        <v>1</v>
      </c>
      <c r="U9" s="8" t="str">
        <f aca="false">L9&amp;" (2004-2007)"</f>
        <v>Bill Callahan (2004-2007)</v>
      </c>
    </row>
    <row r="10" customFormat="false" ht="15" hidden="false" customHeight="false" outlineLevel="0" collapsed="false">
      <c r="L10" s="8" t="s">
        <v>369</v>
      </c>
      <c r="M10" s="8" t="n">
        <f aca="false">COUNTIF(Clean_Data!$C$2:$C$137,L10)</f>
        <v>3</v>
      </c>
      <c r="N10" s="8" t="n">
        <f aca="false">SUMIF(Clean_Data!$C$2:$C$137,L10,Clean_Data!$F$2:$F$137)</f>
        <v>19</v>
      </c>
      <c r="O10" s="8" t="n">
        <f aca="false">SUMIF(Clean_Data!$C$2:$C$137,L10,Clean_Data!$G$2:$G$137)</f>
        <v>19</v>
      </c>
      <c r="P10" s="8" t="n">
        <f aca="false">SUMIF(Clean_Data!$C$2:$C$137,L10,Clean_Data!$H$2:$H$137)</f>
        <v>0</v>
      </c>
      <c r="Q10" s="19" t="n">
        <f aca="false">(N10+0.5*P10)/(N10+O10+P10)</f>
        <v>0.5</v>
      </c>
      <c r="R10" s="8" t="n">
        <f aca="false">COUNTIFS(Clean_Data!$C$2:$C$137,L10,Clean_Data!$R$2:$R$137,"Yes")</f>
        <v>2</v>
      </c>
      <c r="S10" s="8" t="n">
        <f aca="false">COUNTIFS(Clean_Data!$C$2:$C$137,L10,Clean_Data!$X$2:$X$137,"Yes")</f>
        <v>0</v>
      </c>
      <c r="U10" s="8" t="str">
        <f aca="false">L10&amp;" (2015-2017)"</f>
        <v>Mike Riley (2015-2017)</v>
      </c>
    </row>
    <row r="11" customFormat="false" ht="15" hidden="false" customHeight="false" outlineLevel="0" collapsed="false">
      <c r="L11" s="8" t="s">
        <v>390</v>
      </c>
      <c r="M11" s="8" t="n">
        <f aca="false">COUNTIF(Clean_Data!$C$2:$C$137,L11)</f>
        <v>3</v>
      </c>
      <c r="N11" s="8" t="n">
        <f aca="false">SUMIF(Clean_Data!$C$2:$C$137,L11,Clean_Data!$F$2:$F$137)</f>
        <v>19</v>
      </c>
      <c r="O11" s="8" t="n">
        <f aca="false">SUMIF(Clean_Data!$C$2:$C$137,L11,Clean_Data!$G$2:$G$137)</f>
        <v>19</v>
      </c>
      <c r="P11" s="8" t="n">
        <f aca="false">SUMIF(Clean_Data!$C$2:$C$137,L11,Clean_Data!$H$2:$H$137)</f>
        <v>0</v>
      </c>
      <c r="Q11" s="19" t="n">
        <f aca="false">(N11+0.5*P11)/(N11+O11+P11)</f>
        <v>0.5</v>
      </c>
      <c r="R11" s="8" t="n">
        <f aca="false">COUNTIFS(Clean_Data!$C$2:$C$137,L11,Clean_Data!$R$2:$R$137,"Yes")</f>
        <v>2</v>
      </c>
      <c r="S11" s="8" t="n">
        <f aca="false">COUNTIFS(Clean_Data!$C$2:$C$137,L11,Clean_Data!$X$2:$X$137,"Yes")</f>
        <v>0</v>
      </c>
      <c r="U11" s="8" t="str">
        <f aca="false">L11&amp;" (2023-2025)"</f>
        <v>Matt Rhule (2023-2025)</v>
      </c>
    </row>
    <row r="12" customFormat="false" ht="15" hidden="false" customHeight="false" outlineLevel="0" collapsed="false">
      <c r="L12" s="8" t="s">
        <v>379</v>
      </c>
      <c r="M12" s="8" t="n">
        <f aca="false">COUNTIF(Clean_Data!$C$2:$C$137,L12)</f>
        <v>5</v>
      </c>
      <c r="N12" s="8" t="n">
        <f aca="false">SUMIF(Clean_Data!$C$2:$C$137,L12,Clean_Data!$F$2:$F$137)</f>
        <v>19</v>
      </c>
      <c r="O12" s="8" t="n">
        <f aca="false">SUMIF(Clean_Data!$C$2:$C$137,L12,Clean_Data!$G$2:$G$137)</f>
        <v>37</v>
      </c>
      <c r="P12" s="8" t="n">
        <f aca="false">SUMIF(Clean_Data!$C$2:$C$137,L12,Clean_Data!$H$2:$H$137)</f>
        <v>0</v>
      </c>
      <c r="Q12" s="19" t="n">
        <f aca="false">(N12+0.5*P12)/(N12+O12+P12)</f>
        <v>0.339285714285714</v>
      </c>
      <c r="R12" s="8" t="n">
        <f aca="false">COUNTIFS(Clean_Data!$C$2:$C$137,L12,Clean_Data!$R$2:$R$137,"Yes")</f>
        <v>0</v>
      </c>
      <c r="S12" s="8" t="n">
        <f aca="false">COUNTIFS(Clean_Data!$C$2:$C$137,L12,Clean_Data!$X$2:$X$137,"Yes")</f>
        <v>0</v>
      </c>
      <c r="U12" s="8" t="str">
        <f aca="false">L12&amp;" (2018-2022)"</f>
        <v>Scott Frost (2018-2022)</v>
      </c>
    </row>
    <row r="13" customFormat="false" ht="15" hidden="false" customHeight="false" outlineLevel="0" collapsed="false">
      <c r="L13" s="20" t="s">
        <v>501</v>
      </c>
    </row>
    <row r="26" customFormat="false" ht="15" hidden="false" customHeight="false" outlineLevel="0" collapsed="false">
      <c r="A26" s="16" t="s">
        <v>488</v>
      </c>
      <c r="B26" s="17"/>
      <c r="C26" s="17"/>
      <c r="D26" s="17"/>
      <c r="E26" s="17"/>
      <c r="F26" s="17"/>
      <c r="G26" s="17"/>
      <c r="H26" s="17"/>
      <c r="I26" s="17"/>
      <c r="J26" s="17"/>
    </row>
    <row r="27" customFormat="false" ht="15" hidden="false" customHeight="true" outlineLevel="0" collapsed="false">
      <c r="A27" s="18" t="s">
        <v>502</v>
      </c>
      <c r="B27" s="18"/>
      <c r="C27" s="18"/>
      <c r="D27" s="18"/>
      <c r="E27" s="18"/>
      <c r="F27" s="18"/>
      <c r="G27" s="18"/>
      <c r="H27" s="18"/>
      <c r="I27" s="18"/>
      <c r="J27" s="18"/>
    </row>
    <row r="28" customFormat="false" ht="15" hidden="false" customHeight="false" outlineLevel="0" collapsed="false">
      <c r="A28" s="18"/>
      <c r="B28" s="18"/>
      <c r="C28" s="18"/>
      <c r="D28" s="18"/>
      <c r="E28" s="18"/>
      <c r="F28" s="18"/>
      <c r="G28" s="18"/>
      <c r="H28" s="18"/>
      <c r="I28" s="18"/>
      <c r="J28" s="18"/>
    </row>
    <row r="29" customFormat="false" ht="15" hidden="false" customHeight="false" outlineLevel="0" collapsed="false">
      <c r="A29" s="18"/>
      <c r="B29" s="18"/>
      <c r="C29" s="18"/>
      <c r="D29" s="18"/>
      <c r="E29" s="18"/>
      <c r="F29" s="18"/>
      <c r="G29" s="18"/>
      <c r="H29" s="18"/>
      <c r="I29" s="18"/>
      <c r="J29" s="18"/>
    </row>
    <row r="30" customFormat="false" ht="15" hidden="false" customHeight="false" outlineLevel="0" collapsed="false">
      <c r="A30" s="18"/>
      <c r="B30" s="18"/>
      <c r="C30" s="18"/>
      <c r="D30" s="18"/>
      <c r="E30" s="18"/>
      <c r="F30" s="18"/>
      <c r="G30" s="18"/>
      <c r="H30" s="18"/>
      <c r="I30" s="18"/>
      <c r="J30" s="18"/>
    </row>
    <row r="31" customFormat="false" ht="15" hidden="false" customHeight="false" outlineLevel="0" collapsed="false">
      <c r="A31" s="18"/>
      <c r="B31" s="18"/>
      <c r="C31" s="18"/>
      <c r="D31" s="18"/>
      <c r="E31" s="18"/>
      <c r="F31" s="18"/>
      <c r="G31" s="18"/>
      <c r="H31" s="18"/>
      <c r="I31" s="18"/>
      <c r="J31" s="18"/>
    </row>
    <row r="32" customFormat="false" ht="15" hidden="false" customHeight="false" outlineLevel="0" collapsed="false">
      <c r="A32" s="18"/>
      <c r="B32" s="18"/>
      <c r="C32" s="18"/>
      <c r="D32" s="18"/>
      <c r="E32" s="18"/>
      <c r="F32" s="18"/>
      <c r="G32" s="18"/>
      <c r="H32" s="18"/>
      <c r="I32" s="18"/>
      <c r="J32" s="18"/>
    </row>
    <row r="33" customFormat="false" ht="15" hidden="false" customHeight="false" outlineLevel="0" collapsed="false">
      <c r="A33" s="18"/>
      <c r="B33" s="18"/>
      <c r="C33" s="18"/>
      <c r="D33" s="18"/>
      <c r="E33" s="18"/>
      <c r="F33" s="18"/>
      <c r="G33" s="18"/>
      <c r="H33" s="18"/>
      <c r="I33" s="18"/>
      <c r="J33" s="18"/>
    </row>
    <row r="34" customFormat="false" ht="15" hidden="false" customHeight="false" outlineLevel="0" collapsed="false">
      <c r="A34" s="18"/>
      <c r="B34" s="18"/>
      <c r="C34" s="18"/>
      <c r="D34" s="18"/>
      <c r="E34" s="18"/>
      <c r="F34" s="18"/>
      <c r="G34" s="18"/>
      <c r="H34" s="18"/>
      <c r="I34" s="18"/>
      <c r="J34" s="18"/>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 collapsed="false" customWidth="true" hidden="false" outlineLevel="0" max="12" min="12" style="0" width="20"/>
    <col collapsed="false" customWidth="true" hidden="false" outlineLevel="0" max="17" min="13" style="0" width="13"/>
  </cols>
  <sheetData>
    <row r="1" customFormat="false" ht="19.7" hidden="false" customHeight="false" outlineLevel="0" collapsed="false">
      <c r="A1" s="13" t="s">
        <v>503</v>
      </c>
    </row>
    <row r="2" customFormat="false" ht="15" hidden="false" customHeight="true" outlineLevel="0" collapsed="false">
      <c r="A2" s="14" t="s">
        <v>504</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30" hidden="false" customHeight="true" outlineLevel="0" collapsed="false">
      <c r="L4" s="7" t="s">
        <v>505</v>
      </c>
      <c r="M4" s="7" t="s">
        <v>492</v>
      </c>
      <c r="N4" s="7" t="s">
        <v>506</v>
      </c>
      <c r="O4" s="7" t="s">
        <v>507</v>
      </c>
      <c r="P4" s="7" t="s">
        <v>508</v>
      </c>
      <c r="Q4" s="7" t="s">
        <v>509</v>
      </c>
    </row>
    <row r="5" customFormat="false" ht="15" hidden="false" customHeight="false" outlineLevel="0" collapsed="false">
      <c r="L5" s="8" t="s">
        <v>441</v>
      </c>
      <c r="M5" s="8" t="n">
        <f aca="false">COUNTIF(Clean_Data!$E$2:$E$137,L5)</f>
        <v>34</v>
      </c>
      <c r="N5" s="21" t="n">
        <f aca="false">(SUMIF(Clean_Data!$E$2:$E$137,L5,Clean_Data!$F$2:$F$137)+0.5*SUMIF(Clean_Data!$E$2:$E$137,L5,Clean_Data!$H$2:$H$137))/SUMIF(Clean_Data!$E$2:$E$137,L5,Clean_Data!$I$2:$I$137)</f>
        <v>0.827970297029703</v>
      </c>
      <c r="O5" s="21" t="n">
        <f aca="false">(SUMIF(Clean_Data!$E$2:$E$137,L5,Clean_Data!$K$2:$K$137)+0.5*SUMIF(Clean_Data!$E$2:$E$137,L5,Clean_Data!$M$2:$M$137))/(SUMIF(Clean_Data!$E$2:$E$137,L5,Clean_Data!$K$2:$K$137)+SUMIF(Clean_Data!$E$2:$E$137,L5,Clean_Data!$L$2:$L$137)+SUMIF(Clean_Data!$E$2:$E$137,L5,Clean_Data!$M$2:$M$137))</f>
        <v>0.842436974789916</v>
      </c>
      <c r="P5" s="21" t="n">
        <f aca="false">COUNTIFS(Clean_Data!$E$2:$E$137,L5,Clean_Data!$R$2:$R$137,"Yes")/M5</f>
        <v>0.941176470588235</v>
      </c>
      <c r="Q5" s="21" t="n">
        <f aca="false">COUNTIFS(Clean_Data!$E$2:$E$137,L5,Clean_Data!$X$2:$X$137,"Yes")/M5</f>
        <v>0.911764705882353</v>
      </c>
    </row>
    <row r="6" customFormat="false" ht="15" hidden="false" customHeight="false" outlineLevel="0" collapsed="false">
      <c r="L6" s="8" t="s">
        <v>454</v>
      </c>
      <c r="M6" s="8" t="n">
        <f aca="false">COUNTIF(Clean_Data!$E$2:$E$137,L6)</f>
        <v>15</v>
      </c>
      <c r="N6" s="21" t="n">
        <f aca="false">(SUMIF(Clean_Data!$E$2:$E$137,L6,Clean_Data!$F$2:$F$137)+0.5*SUMIF(Clean_Data!$E$2:$E$137,L6,Clean_Data!$H$2:$H$137))/SUMIF(Clean_Data!$E$2:$E$137,L6,Clean_Data!$I$2:$I$137)</f>
        <v>0.716494845360825</v>
      </c>
      <c r="O6" s="21" t="n">
        <f aca="false">(SUMIF(Clean_Data!$E$2:$E$137,L6,Clean_Data!$K$2:$K$137)+0.5*SUMIF(Clean_Data!$E$2:$E$137,L6,Clean_Data!$M$2:$M$137))/(SUMIF(Clean_Data!$E$2:$E$137,L6,Clean_Data!$K$2:$K$137)+SUMIF(Clean_Data!$E$2:$E$137,L6,Clean_Data!$L$2:$L$137)+SUMIF(Clean_Data!$E$2:$E$137,L6,Clean_Data!$M$2:$M$137))</f>
        <v>0.675</v>
      </c>
      <c r="P6" s="21" t="n">
        <f aca="false">COUNTIFS(Clean_Data!$E$2:$E$137,L6,Clean_Data!$R$2:$R$137,"Yes")/M6</f>
        <v>0.866666666666667</v>
      </c>
      <c r="Q6" s="21" t="n">
        <f aca="false">COUNTIFS(Clean_Data!$E$2:$E$137,L6,Clean_Data!$X$2:$X$137,"Yes")/M6</f>
        <v>0.666666666666667</v>
      </c>
    </row>
    <row r="7" customFormat="false" ht="15" hidden="false" customHeight="false" outlineLevel="0" collapsed="false">
      <c r="L7" s="8" t="s">
        <v>462</v>
      </c>
      <c r="M7" s="8" t="n">
        <f aca="false">COUNTIF(Clean_Data!$E$2:$E$137,L7)</f>
        <v>15</v>
      </c>
      <c r="N7" s="21" t="n">
        <f aca="false">(SUMIF(Clean_Data!$E$2:$E$137,L7,Clean_Data!$F$2:$F$137)+0.5*SUMIF(Clean_Data!$E$2:$E$137,L7,Clean_Data!$H$2:$H$137))/SUMIF(Clean_Data!$E$2:$E$137,L7,Clean_Data!$I$2:$I$137)</f>
        <v>0.508108108108108</v>
      </c>
      <c r="O7" s="21" t="n">
        <f aca="false">(SUMIF(Clean_Data!$E$2:$E$137,L7,Clean_Data!$K$2:$K$137)+0.5*SUMIF(Clean_Data!$E$2:$E$137,L7,Clean_Data!$M$2:$M$137))/(SUMIF(Clean_Data!$E$2:$E$137,L7,Clean_Data!$K$2:$K$137)+SUMIF(Clean_Data!$E$2:$E$137,L7,Clean_Data!$L$2:$L$137)+SUMIF(Clean_Data!$E$2:$E$137,L7,Clean_Data!$M$2:$M$137))</f>
        <v>0.441860465116279</v>
      </c>
      <c r="P7" s="21" t="n">
        <f aca="false">COUNTIFS(Clean_Data!$E$2:$E$137,L7,Clean_Data!$R$2:$R$137,"Yes")/M7</f>
        <v>0.533333333333333</v>
      </c>
      <c r="Q7" s="21" t="n">
        <f aca="false">COUNTIFS(Clean_Data!$E$2:$E$137,L7,Clean_Data!$X$2:$X$137,"Yes")/M7</f>
        <v>0.133333333333333</v>
      </c>
    </row>
    <row r="26" customFormat="false" ht="15" hidden="false" customHeight="false" outlineLevel="0" collapsed="false">
      <c r="A26" s="16" t="s">
        <v>488</v>
      </c>
      <c r="B26" s="17"/>
      <c r="C26" s="17"/>
      <c r="D26" s="17"/>
      <c r="E26" s="17"/>
      <c r="F26" s="17"/>
      <c r="G26" s="17"/>
      <c r="H26" s="17"/>
      <c r="I26" s="17"/>
      <c r="J26" s="17"/>
    </row>
    <row r="27" customFormat="false" ht="15" hidden="false" customHeight="true" outlineLevel="0" collapsed="false">
      <c r="A27" s="18" t="s">
        <v>510</v>
      </c>
      <c r="B27" s="18"/>
      <c r="C27" s="18"/>
      <c r="D27" s="18"/>
      <c r="E27" s="18"/>
      <c r="F27" s="18"/>
      <c r="G27" s="18"/>
      <c r="H27" s="18"/>
      <c r="I27" s="18"/>
      <c r="J27" s="18"/>
    </row>
    <row r="28" customFormat="false" ht="15" hidden="false" customHeight="false" outlineLevel="0" collapsed="false">
      <c r="A28" s="18"/>
      <c r="B28" s="18"/>
      <c r="C28" s="18"/>
      <c r="D28" s="18"/>
      <c r="E28" s="18"/>
      <c r="F28" s="18"/>
      <c r="G28" s="18"/>
      <c r="H28" s="18"/>
      <c r="I28" s="18"/>
      <c r="J28" s="18"/>
    </row>
    <row r="29" customFormat="false" ht="15" hidden="false" customHeight="false" outlineLevel="0" collapsed="false">
      <c r="A29" s="18"/>
      <c r="B29" s="18"/>
      <c r="C29" s="18"/>
      <c r="D29" s="18"/>
      <c r="E29" s="18"/>
      <c r="F29" s="18"/>
      <c r="G29" s="18"/>
      <c r="H29" s="18"/>
      <c r="I29" s="18"/>
      <c r="J29" s="18"/>
    </row>
    <row r="30" customFormat="false" ht="15" hidden="false" customHeight="false" outlineLevel="0" collapsed="false">
      <c r="A30" s="18"/>
      <c r="B30" s="18"/>
      <c r="C30" s="18"/>
      <c r="D30" s="18"/>
      <c r="E30" s="18"/>
      <c r="F30" s="18"/>
      <c r="G30" s="18"/>
      <c r="H30" s="18"/>
      <c r="I30" s="18"/>
      <c r="J30" s="18"/>
    </row>
    <row r="31" customFormat="false" ht="15" hidden="false" customHeight="false" outlineLevel="0" collapsed="false">
      <c r="A31" s="18"/>
      <c r="B31" s="18"/>
      <c r="C31" s="18"/>
      <c r="D31" s="18"/>
      <c r="E31" s="18"/>
      <c r="F31" s="18"/>
      <c r="G31" s="18"/>
      <c r="H31" s="18"/>
      <c r="I31" s="18"/>
      <c r="J31" s="18"/>
    </row>
    <row r="32" customFormat="false" ht="15" hidden="false" customHeight="false" outlineLevel="0" collapsed="false">
      <c r="A32" s="18"/>
      <c r="B32" s="18"/>
      <c r="C32" s="18"/>
      <c r="D32" s="18"/>
      <c r="E32" s="18"/>
      <c r="F32" s="18"/>
      <c r="G32" s="18"/>
      <c r="H32" s="18"/>
      <c r="I32" s="18"/>
      <c r="J32" s="18"/>
    </row>
    <row r="33" customFormat="false" ht="15" hidden="false" customHeight="false" outlineLevel="0" collapsed="false">
      <c r="A33" s="18"/>
      <c r="B33" s="18"/>
      <c r="C33" s="18"/>
      <c r="D33" s="18"/>
      <c r="E33" s="18"/>
      <c r="F33" s="18"/>
      <c r="G33" s="18"/>
      <c r="H33" s="18"/>
      <c r="I33" s="18"/>
      <c r="J33" s="18"/>
    </row>
    <row r="34" customFormat="false" ht="15" hidden="false" customHeight="false" outlineLevel="0" collapsed="false">
      <c r="A34" s="18"/>
      <c r="B34" s="18"/>
      <c r="C34" s="18"/>
      <c r="D34" s="18"/>
      <c r="E34" s="18"/>
      <c r="F34" s="18"/>
      <c r="G34" s="18"/>
      <c r="H34" s="18"/>
      <c r="I34" s="18"/>
      <c r="J34" s="18"/>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s>
  <sheetData>
    <row r="1" customFormat="false" ht="19.7" hidden="false" customHeight="false" outlineLevel="0" collapsed="false">
      <c r="A1" s="13" t="s">
        <v>511</v>
      </c>
    </row>
    <row r="2" customFormat="false" ht="15" hidden="false" customHeight="true" outlineLevel="0" collapsed="false">
      <c r="A2" s="14" t="s">
        <v>512</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30" hidden="false" customHeight="true" outlineLevel="0" collapsed="false">
      <c r="L4" s="7" t="s">
        <v>403</v>
      </c>
      <c r="M4" s="7" t="s">
        <v>513</v>
      </c>
      <c r="N4" s="7" t="s">
        <v>514</v>
      </c>
      <c r="O4" s="7" t="s">
        <v>498</v>
      </c>
      <c r="P4" s="7" t="s">
        <v>492</v>
      </c>
      <c r="Q4" s="7" t="s">
        <v>515</v>
      </c>
    </row>
    <row r="5" customFormat="false" ht="15" hidden="false" customHeight="false" outlineLevel="0" collapsed="false">
      <c r="L5" s="8" t="s">
        <v>435</v>
      </c>
      <c r="M5" s="8" t="n">
        <f aca="false">COUNTIFS(Clean_Data!$B$2:$B$137,L5,Clean_Data!$T$2:$T$137,"W")</f>
        <v>0</v>
      </c>
      <c r="N5" s="8" t="n">
        <f aca="false">COUNTIFS(Clean_Data!$B$2:$B$137,L5,Clean_Data!$T$2:$T$137,"L")</f>
        <v>1</v>
      </c>
      <c r="O5" s="8" t="n">
        <f aca="false">M5+N5</f>
        <v>1</v>
      </c>
      <c r="P5" s="8" t="n">
        <f aca="false">COUNTIF(Clean_Data!$B$2:$B$137,L5)</f>
        <v>10</v>
      </c>
      <c r="Q5" s="22" t="n">
        <f aca="false">O5/P5</f>
        <v>0.1</v>
      </c>
    </row>
    <row r="6" customFormat="false" ht="15" hidden="false" customHeight="false" outlineLevel="0" collapsed="false">
      <c r="L6" s="8" t="s">
        <v>438</v>
      </c>
      <c r="M6" s="8" t="n">
        <f aca="false">COUNTIFS(Clean_Data!$B$2:$B$137,L6,Clean_Data!$T$2:$T$137,"W")</f>
        <v>0</v>
      </c>
      <c r="N6" s="8" t="n">
        <f aca="false">COUNTIFS(Clean_Data!$B$2:$B$137,L6,Clean_Data!$T$2:$T$137,"L")</f>
        <v>1</v>
      </c>
      <c r="O6" s="8" t="n">
        <f aca="false">M6+N6</f>
        <v>1</v>
      </c>
      <c r="P6" s="8" t="n">
        <f aca="false">COUNTIF(Clean_Data!$B$2:$B$137,L6)</f>
        <v>10</v>
      </c>
      <c r="Q6" s="22" t="n">
        <f aca="false">O6/P6</f>
        <v>0.1</v>
      </c>
    </row>
    <row r="7" customFormat="false" ht="15" hidden="false" customHeight="false" outlineLevel="0" collapsed="false">
      <c r="L7" s="8" t="s">
        <v>440</v>
      </c>
      <c r="M7" s="8" t="n">
        <f aca="false">COUNTIFS(Clean_Data!$B$2:$B$137,L7,Clean_Data!$T$2:$T$137,"W")</f>
        <v>3</v>
      </c>
      <c r="N7" s="8" t="n">
        <f aca="false">COUNTIFS(Clean_Data!$B$2:$B$137,L7,Clean_Data!$T$2:$T$137,"L")</f>
        <v>3</v>
      </c>
      <c r="O7" s="8" t="n">
        <f aca="false">M7+N7</f>
        <v>6</v>
      </c>
      <c r="P7" s="8" t="n">
        <f aca="false">COUNTIF(Clean_Data!$B$2:$B$137,L7)</f>
        <v>10</v>
      </c>
      <c r="Q7" s="22" t="n">
        <f aca="false">O7/P7</f>
        <v>0.6</v>
      </c>
    </row>
    <row r="8" customFormat="false" ht="15" hidden="false" customHeight="false" outlineLevel="0" collapsed="false">
      <c r="L8" s="8" t="s">
        <v>447</v>
      </c>
      <c r="M8" s="8" t="n">
        <f aca="false">COUNTIFS(Clean_Data!$B$2:$B$137,L8,Clean_Data!$T$2:$T$137,"W")</f>
        <v>7</v>
      </c>
      <c r="N8" s="8" t="n">
        <f aca="false">COUNTIFS(Clean_Data!$B$2:$B$137,L8,Clean_Data!$T$2:$T$137,"L")</f>
        <v>3</v>
      </c>
      <c r="O8" s="8" t="n">
        <f aca="false">M8+N8</f>
        <v>10</v>
      </c>
      <c r="P8" s="8" t="n">
        <f aca="false">COUNTIF(Clean_Data!$B$2:$B$137,L8)</f>
        <v>10</v>
      </c>
      <c r="Q8" s="22" t="n">
        <f aca="false">O8/P8</f>
        <v>1</v>
      </c>
    </row>
    <row r="9" customFormat="false" ht="15" hidden="false" customHeight="false" outlineLevel="0" collapsed="false">
      <c r="L9" s="8" t="s">
        <v>451</v>
      </c>
      <c r="M9" s="8" t="n">
        <f aca="false">COUNTIFS(Clean_Data!$B$2:$B$137,L9,Clean_Data!$T$2:$T$137,"W")</f>
        <v>4</v>
      </c>
      <c r="N9" s="8" t="n">
        <f aca="false">COUNTIFS(Clean_Data!$B$2:$B$137,L9,Clean_Data!$T$2:$T$137,"L")</f>
        <v>6</v>
      </c>
      <c r="O9" s="8" t="n">
        <f aca="false">M9+N9</f>
        <v>10</v>
      </c>
      <c r="P9" s="8" t="n">
        <f aca="false">COUNTIF(Clean_Data!$B$2:$B$137,L9)</f>
        <v>10</v>
      </c>
      <c r="Q9" s="22" t="n">
        <f aca="false">O9/P9</f>
        <v>1</v>
      </c>
    </row>
    <row r="10" customFormat="false" ht="15" hidden="false" customHeight="false" outlineLevel="0" collapsed="false">
      <c r="L10" s="8" t="s">
        <v>452</v>
      </c>
      <c r="M10" s="8" t="n">
        <f aca="false">COUNTIFS(Clean_Data!$B$2:$B$137,L10,Clean_Data!$T$2:$T$137,"W")</f>
        <v>5</v>
      </c>
      <c r="N10" s="8" t="n">
        <f aca="false">COUNTIFS(Clean_Data!$B$2:$B$137,L10,Clean_Data!$T$2:$T$137,"L")</f>
        <v>5</v>
      </c>
      <c r="O10" s="8" t="n">
        <f aca="false">M10+N10</f>
        <v>10</v>
      </c>
      <c r="P10" s="8" t="n">
        <f aca="false">COUNTIF(Clean_Data!$B$2:$B$137,L10)</f>
        <v>10</v>
      </c>
      <c r="Q10" s="22" t="n">
        <f aca="false">O10/P10</f>
        <v>1</v>
      </c>
    </row>
    <row r="11" customFormat="false" ht="15" hidden="false" customHeight="false" outlineLevel="0" collapsed="false">
      <c r="L11" s="8" t="s">
        <v>457</v>
      </c>
      <c r="M11" s="8" t="n">
        <f aca="false">COUNTIFS(Clean_Data!$B$2:$B$137,L11,Clean_Data!$T$2:$T$137,"W")</f>
        <v>5</v>
      </c>
      <c r="N11" s="8" t="n">
        <f aca="false">COUNTIFS(Clean_Data!$B$2:$B$137,L11,Clean_Data!$T$2:$T$137,"L")</f>
        <v>3</v>
      </c>
      <c r="O11" s="8" t="n">
        <f aca="false">M11+N11</f>
        <v>8</v>
      </c>
      <c r="P11" s="8" t="n">
        <f aca="false">COUNTIF(Clean_Data!$B$2:$B$137,L11)</f>
        <v>10</v>
      </c>
      <c r="Q11" s="22" t="n">
        <f aca="false">O11/P11</f>
        <v>0.8</v>
      </c>
    </row>
    <row r="12" customFormat="false" ht="15" hidden="false" customHeight="false" outlineLevel="0" collapsed="false">
      <c r="L12" s="8" t="s">
        <v>461</v>
      </c>
      <c r="M12" s="8" t="n">
        <f aca="false">COUNTIFS(Clean_Data!$B$2:$B$137,L12,Clean_Data!$T$2:$T$137,"W")</f>
        <v>2</v>
      </c>
      <c r="N12" s="8" t="n">
        <f aca="false">COUNTIFS(Clean_Data!$B$2:$B$137,L12,Clean_Data!$T$2:$T$137,"L")</f>
        <v>5</v>
      </c>
      <c r="O12" s="8" t="n">
        <f aca="false">M12+N12</f>
        <v>7</v>
      </c>
      <c r="P12" s="8" t="n">
        <f aca="false">COUNTIF(Clean_Data!$B$2:$B$137,L12)</f>
        <v>10</v>
      </c>
      <c r="Q12" s="22" t="n">
        <f aca="false">O12/P12</f>
        <v>0.7</v>
      </c>
    </row>
    <row r="13" customFormat="false" ht="15" hidden="false" customHeight="false" outlineLevel="0" collapsed="false">
      <c r="L13" s="8" t="s">
        <v>468</v>
      </c>
      <c r="M13" s="8" t="n">
        <f aca="false">COUNTIFS(Clean_Data!$B$2:$B$137,L13,Clean_Data!$T$2:$T$137,"W")</f>
        <v>1</v>
      </c>
      <c r="N13" s="8" t="n">
        <f aca="false">COUNTIFS(Clean_Data!$B$2:$B$137,L13,Clean_Data!$T$2:$T$137,"L")</f>
        <v>1</v>
      </c>
      <c r="O13" s="8" t="n">
        <f aca="false">M13+N13</f>
        <v>2</v>
      </c>
      <c r="P13" s="8" t="n">
        <f aca="false">COUNTIF(Clean_Data!$B$2:$B$137,L13)</f>
        <v>6</v>
      </c>
      <c r="Q13" s="22" t="n">
        <f aca="false">O13/P13</f>
        <v>0.333333333333333</v>
      </c>
    </row>
    <row r="14" customFormat="false" ht="15" hidden="false" customHeight="false" outlineLevel="0" collapsed="false">
      <c r="L14" s="23" t="s">
        <v>516</v>
      </c>
      <c r="M14" s="23" t="n">
        <f aca="false">SUM(M5:M13)</f>
        <v>27</v>
      </c>
      <c r="N14" s="23" t="n">
        <f aca="false">SUM(N5:N13)</f>
        <v>28</v>
      </c>
      <c r="O14" s="23" t="n">
        <f aca="false">SUM(O5:O13)</f>
        <v>55</v>
      </c>
      <c r="P14" s="23" t="n">
        <f aca="false">SUM(P5:P13)</f>
        <v>86</v>
      </c>
    </row>
    <row r="15" customFormat="false" ht="15" hidden="false" customHeight="false" outlineLevel="0" collapsed="false">
      <c r="L15" s="20" t="s">
        <v>517</v>
      </c>
    </row>
    <row r="26" customFormat="false" ht="15" hidden="false" customHeight="false" outlineLevel="0" collapsed="false">
      <c r="A26" s="16" t="s">
        <v>488</v>
      </c>
      <c r="B26" s="17"/>
      <c r="C26" s="17"/>
      <c r="D26" s="17"/>
      <c r="E26" s="17"/>
      <c r="F26" s="17"/>
      <c r="G26" s="17"/>
      <c r="H26" s="17"/>
      <c r="I26" s="17"/>
      <c r="J26" s="17"/>
    </row>
    <row r="27" customFormat="false" ht="15" hidden="false" customHeight="true" outlineLevel="0" collapsed="false">
      <c r="A27" s="18" t="s">
        <v>518</v>
      </c>
      <c r="B27" s="18"/>
      <c r="C27" s="18"/>
      <c r="D27" s="18"/>
      <c r="E27" s="18"/>
      <c r="F27" s="18"/>
      <c r="G27" s="18"/>
      <c r="H27" s="18"/>
      <c r="I27" s="18"/>
      <c r="J27" s="18"/>
    </row>
    <row r="28" customFormat="false" ht="15" hidden="false" customHeight="false" outlineLevel="0" collapsed="false">
      <c r="A28" s="18"/>
      <c r="B28" s="18"/>
      <c r="C28" s="18"/>
      <c r="D28" s="18"/>
      <c r="E28" s="18"/>
      <c r="F28" s="18"/>
      <c r="G28" s="18"/>
      <c r="H28" s="18"/>
      <c r="I28" s="18"/>
      <c r="J28" s="18"/>
    </row>
    <row r="29" customFormat="false" ht="15" hidden="false" customHeight="false" outlineLevel="0" collapsed="false">
      <c r="A29" s="18"/>
      <c r="B29" s="18"/>
      <c r="C29" s="18"/>
      <c r="D29" s="18"/>
      <c r="E29" s="18"/>
      <c r="F29" s="18"/>
      <c r="G29" s="18"/>
      <c r="H29" s="18"/>
      <c r="I29" s="18"/>
      <c r="J29" s="18"/>
    </row>
    <row r="30" customFormat="false" ht="15" hidden="false" customHeight="false" outlineLevel="0" collapsed="false">
      <c r="A30" s="18"/>
      <c r="B30" s="18"/>
      <c r="C30" s="18"/>
      <c r="D30" s="18"/>
      <c r="E30" s="18"/>
      <c r="F30" s="18"/>
      <c r="G30" s="18"/>
      <c r="H30" s="18"/>
      <c r="I30" s="18"/>
      <c r="J30" s="18"/>
    </row>
    <row r="31" customFormat="false" ht="15" hidden="false" customHeight="false" outlineLevel="0" collapsed="false">
      <c r="A31" s="18"/>
      <c r="B31" s="18"/>
      <c r="C31" s="18"/>
      <c r="D31" s="18"/>
      <c r="E31" s="18"/>
      <c r="F31" s="18"/>
      <c r="G31" s="18"/>
      <c r="H31" s="18"/>
      <c r="I31" s="18"/>
      <c r="J31" s="18"/>
    </row>
    <row r="32" customFormat="false" ht="15" hidden="false" customHeight="false" outlineLevel="0" collapsed="false">
      <c r="A32" s="18"/>
      <c r="B32" s="18"/>
      <c r="C32" s="18"/>
      <c r="D32" s="18"/>
      <c r="E32" s="18"/>
      <c r="F32" s="18"/>
      <c r="G32" s="18"/>
      <c r="H32" s="18"/>
      <c r="I32" s="18"/>
      <c r="J32" s="18"/>
    </row>
    <row r="33" customFormat="false" ht="15" hidden="false" customHeight="false" outlineLevel="0" collapsed="false">
      <c r="A33" s="18"/>
      <c r="B33" s="18"/>
      <c r="C33" s="18"/>
      <c r="D33" s="18"/>
      <c r="E33" s="18"/>
      <c r="F33" s="18"/>
      <c r="G33" s="18"/>
      <c r="H33" s="18"/>
      <c r="I33" s="18"/>
      <c r="J33" s="18"/>
    </row>
    <row r="34" customFormat="false" ht="15" hidden="false" customHeight="false" outlineLevel="0" collapsed="false">
      <c r="A34" s="18"/>
      <c r="B34" s="18"/>
      <c r="C34" s="18"/>
      <c r="D34" s="18"/>
      <c r="E34" s="18"/>
      <c r="F34" s="18"/>
      <c r="G34" s="18"/>
      <c r="H34" s="18"/>
      <c r="I34" s="18"/>
      <c r="J34" s="18"/>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1.5"/>
    <col collapsed="false" customWidth="true" hidden="false" outlineLevel="0" max="11" min="11" style="0" width="3"/>
    <col collapsed="false" customWidth="true" hidden="false" outlineLevel="0" max="17" min="15" style="0" width="12"/>
  </cols>
  <sheetData>
    <row r="1" customFormat="false" ht="19.7" hidden="false" customHeight="false" outlineLevel="0" collapsed="false">
      <c r="A1" s="13" t="s">
        <v>519</v>
      </c>
    </row>
    <row r="2" customFormat="false" ht="15" hidden="false" customHeight="true" outlineLevel="0" collapsed="false">
      <c r="A2" s="14" t="s">
        <v>520</v>
      </c>
      <c r="B2" s="14"/>
      <c r="C2" s="14"/>
      <c r="D2" s="14"/>
      <c r="E2" s="14"/>
      <c r="F2" s="14"/>
      <c r="G2" s="14"/>
      <c r="H2" s="14"/>
      <c r="I2" s="14"/>
      <c r="J2" s="14"/>
    </row>
    <row r="3" customFormat="false" ht="15" hidden="false" customHeight="false" outlineLevel="0" collapsed="false">
      <c r="A3" s="14"/>
      <c r="B3" s="14"/>
      <c r="C3" s="14"/>
      <c r="D3" s="14"/>
      <c r="E3" s="14"/>
      <c r="F3" s="14"/>
      <c r="G3" s="14"/>
      <c r="H3" s="14"/>
      <c r="I3" s="14"/>
      <c r="J3" s="14"/>
    </row>
    <row r="4" customFormat="false" ht="30" hidden="false" customHeight="true" outlineLevel="0" collapsed="false">
      <c r="L4" s="7" t="s">
        <v>402</v>
      </c>
      <c r="M4" s="7" t="s">
        <v>521</v>
      </c>
      <c r="O4" s="7" t="s">
        <v>403</v>
      </c>
      <c r="P4" s="7" t="s">
        <v>522</v>
      </c>
      <c r="Q4" s="7" t="s">
        <v>523</v>
      </c>
    </row>
    <row r="5" customFormat="false" ht="15" hidden="false" customHeight="false" outlineLevel="0" collapsed="false">
      <c r="L5" s="8" t="n">
        <f aca="false">Clean_Data!A48</f>
        <v>1936</v>
      </c>
      <c r="M5" s="8" t="n">
        <f aca="false">Clean_Data!V48</f>
        <v>9</v>
      </c>
      <c r="O5" s="8" t="s">
        <v>434</v>
      </c>
      <c r="P5" s="8" t="n">
        <f aca="false">COUNTIFS(Clean_Data!$B$2:$B$137,O5,Clean_Data!$X$2:$X$137,"Yes")</f>
        <v>3</v>
      </c>
      <c r="Q5" s="8" t="n">
        <f aca="false">COUNTIFS(Clean_Data!$B$2:$B$137,O5,Clean_Data!$V$2:$V$137,"&lt;=10")</f>
        <v>1</v>
      </c>
    </row>
    <row r="6" customFormat="false" ht="15" hidden="false" customHeight="false" outlineLevel="0" collapsed="false">
      <c r="L6" s="8" t="n">
        <f aca="false">Clean_Data!A49</f>
        <v>1937</v>
      </c>
      <c r="M6" s="8" t="n">
        <f aca="false">Clean_Data!V49</f>
        <v>11</v>
      </c>
      <c r="O6" s="8" t="s">
        <v>435</v>
      </c>
      <c r="P6" s="8" t="n">
        <f aca="false">COUNTIFS(Clean_Data!$B$2:$B$137,O6,Clean_Data!$X$2:$X$137,"Yes")</f>
        <v>1</v>
      </c>
      <c r="Q6" s="8" t="n">
        <f aca="false">COUNTIFS(Clean_Data!$B$2:$B$137,O6,Clean_Data!$V$2:$V$137,"&lt;=10")</f>
        <v>1</v>
      </c>
    </row>
    <row r="7" customFormat="false" ht="15" hidden="false" customHeight="false" outlineLevel="0" collapsed="false">
      <c r="L7" s="8" t="n">
        <f aca="false">Clean_Data!A51</f>
        <v>1939</v>
      </c>
      <c r="M7" s="8" t="n">
        <f aca="false">Clean_Data!V51</f>
        <v>18</v>
      </c>
      <c r="O7" s="8" t="s">
        <v>438</v>
      </c>
      <c r="P7" s="8" t="n">
        <f aca="false">COUNTIFS(Clean_Data!$B$2:$B$137,O7,Clean_Data!$X$2:$X$137,"Yes")</f>
        <v>1</v>
      </c>
      <c r="Q7" s="8" t="n">
        <f aca="false">COUNTIFS(Clean_Data!$B$2:$B$137,O7,Clean_Data!$V$2:$V$137,"&lt;=10")</f>
        <v>0</v>
      </c>
    </row>
    <row r="8" customFormat="false" ht="15" hidden="false" customHeight="false" outlineLevel="0" collapsed="false">
      <c r="L8" s="8" t="n">
        <f aca="false">Clean_Data!A52</f>
        <v>1940</v>
      </c>
      <c r="M8" s="8" t="n">
        <f aca="false">Clean_Data!V52</f>
        <v>7</v>
      </c>
      <c r="O8" s="8" t="s">
        <v>440</v>
      </c>
      <c r="P8" s="8" t="n">
        <f aca="false">COUNTIFS(Clean_Data!$B$2:$B$137,O8,Clean_Data!$X$2:$X$137,"Yes")</f>
        <v>5</v>
      </c>
      <c r="Q8" s="8" t="n">
        <f aca="false">COUNTIFS(Clean_Data!$B$2:$B$137,O8,Clean_Data!$V$2:$V$137,"&lt;=10")</f>
        <v>4</v>
      </c>
    </row>
    <row r="9" customFormat="false" ht="15" hidden="false" customHeight="false" outlineLevel="0" collapsed="false">
      <c r="L9" s="8" t="n">
        <f aca="false">Clean_Data!A62</f>
        <v>1950</v>
      </c>
      <c r="M9" s="8" t="n">
        <f aca="false">Clean_Data!V62</f>
        <v>17</v>
      </c>
      <c r="O9" s="8" t="s">
        <v>447</v>
      </c>
      <c r="P9" s="8" t="n">
        <f aca="false">COUNTIFS(Clean_Data!$B$2:$B$137,O9,Clean_Data!$X$2:$X$137,"Yes")</f>
        <v>10</v>
      </c>
      <c r="Q9" s="8" t="n">
        <f aca="false">COUNTIFS(Clean_Data!$B$2:$B$137,O9,Clean_Data!$V$2:$V$137,"&lt;=10")</f>
        <v>9</v>
      </c>
    </row>
    <row r="10" customFormat="false" ht="15" hidden="false" customHeight="false" outlineLevel="0" collapsed="false">
      <c r="L10" s="8" t="n">
        <f aca="false">Clean_Data!A75</f>
        <v>1963</v>
      </c>
      <c r="M10" s="8" t="n">
        <f aca="false">Clean_Data!V75</f>
        <v>6</v>
      </c>
      <c r="O10" s="8" t="s">
        <v>451</v>
      </c>
      <c r="P10" s="8" t="n">
        <f aca="false">COUNTIFS(Clean_Data!$B$2:$B$137,O10,Clean_Data!$X$2:$X$137,"Yes")</f>
        <v>10</v>
      </c>
      <c r="Q10" s="8" t="n">
        <f aca="false">COUNTIFS(Clean_Data!$B$2:$B$137,O10,Clean_Data!$V$2:$V$137,"&lt;=10")</f>
        <v>7</v>
      </c>
    </row>
    <row r="11" customFormat="false" ht="15" hidden="false" customHeight="false" outlineLevel="0" collapsed="false">
      <c r="L11" s="8" t="n">
        <f aca="false">Clean_Data!A76</f>
        <v>1964</v>
      </c>
      <c r="M11" s="8" t="n">
        <f aca="false">Clean_Data!V76</f>
        <v>6</v>
      </c>
      <c r="O11" s="8" t="s">
        <v>452</v>
      </c>
      <c r="P11" s="8" t="n">
        <f aca="false">COUNTIFS(Clean_Data!$B$2:$B$137,O11,Clean_Data!$X$2:$X$137,"Yes")</f>
        <v>10</v>
      </c>
      <c r="Q11" s="8" t="n">
        <f aca="false">COUNTIFS(Clean_Data!$B$2:$B$137,O11,Clean_Data!$V$2:$V$137,"&lt;=10")</f>
        <v>6</v>
      </c>
    </row>
    <row r="12" customFormat="false" ht="15" hidden="false" customHeight="false" outlineLevel="0" collapsed="false">
      <c r="L12" s="8" t="n">
        <f aca="false">Clean_Data!A77</f>
        <v>1965</v>
      </c>
      <c r="M12" s="8" t="n">
        <f aca="false">Clean_Data!V77</f>
        <v>5</v>
      </c>
      <c r="O12" s="8" t="s">
        <v>457</v>
      </c>
      <c r="P12" s="8" t="n">
        <f aca="false">COUNTIFS(Clean_Data!$B$2:$B$137,O12,Clean_Data!$X$2:$X$137,"Yes")</f>
        <v>5</v>
      </c>
      <c r="Q12" s="8" t="n">
        <f aca="false">COUNTIFS(Clean_Data!$B$2:$B$137,O12,Clean_Data!$V$2:$V$137,"&lt;=10")</f>
        <v>2</v>
      </c>
    </row>
    <row r="13" customFormat="false" ht="15" hidden="false" customHeight="false" outlineLevel="0" collapsed="false">
      <c r="L13" s="8" t="n">
        <f aca="false">Clean_Data!A78</f>
        <v>1966</v>
      </c>
      <c r="M13" s="8" t="n">
        <f aca="false">Clean_Data!V78</f>
        <v>6</v>
      </c>
      <c r="O13" s="8" t="s">
        <v>461</v>
      </c>
      <c r="P13" s="8" t="n">
        <f aca="false">COUNTIFS(Clean_Data!$B$2:$B$137,O13,Clean_Data!$X$2:$X$137,"Yes")</f>
        <v>3</v>
      </c>
      <c r="Q13" s="8" t="n">
        <f aca="false">COUNTIFS(Clean_Data!$B$2:$B$137,O13,Clean_Data!$V$2:$V$137,"&lt;=10")</f>
        <v>0</v>
      </c>
    </row>
    <row r="14" customFormat="false" ht="15" hidden="false" customHeight="false" outlineLevel="0" collapsed="false">
      <c r="L14" s="8" t="n">
        <f aca="false">Clean_Data!A81</f>
        <v>1969</v>
      </c>
      <c r="M14" s="8" t="n">
        <f aca="false">Clean_Data!V81</f>
        <v>11</v>
      </c>
      <c r="O14" s="8" t="s">
        <v>468</v>
      </c>
      <c r="P14" s="8" t="n">
        <f aca="false">COUNTIFS(Clean_Data!$B$2:$B$137,O14,Clean_Data!$X$2:$X$137,"Yes")</f>
        <v>0</v>
      </c>
      <c r="Q14" s="8" t="n">
        <f aca="false">COUNTIFS(Clean_Data!$B$2:$B$137,O14,Clean_Data!$V$2:$V$137,"&lt;=10")</f>
        <v>0</v>
      </c>
    </row>
    <row r="15" customFormat="false" ht="15" hidden="false" customHeight="false" outlineLevel="0" collapsed="false">
      <c r="L15" s="8" t="n">
        <f aca="false">Clean_Data!A82</f>
        <v>1970</v>
      </c>
      <c r="M15" s="8" t="n">
        <f aca="false">Clean_Data!V82</f>
        <v>1</v>
      </c>
    </row>
    <row r="16" customFormat="false" ht="15" hidden="false" customHeight="false" outlineLevel="0" collapsed="false">
      <c r="L16" s="8" t="n">
        <f aca="false">Clean_Data!A83</f>
        <v>1971</v>
      </c>
      <c r="M16" s="8" t="n">
        <f aca="false">Clean_Data!V83</f>
        <v>1</v>
      </c>
    </row>
    <row r="17" customFormat="false" ht="15" hidden="false" customHeight="false" outlineLevel="0" collapsed="false">
      <c r="L17" s="8" t="n">
        <f aca="false">Clean_Data!A84</f>
        <v>1972</v>
      </c>
      <c r="M17" s="8" t="n">
        <f aca="false">Clean_Data!V84</f>
        <v>4</v>
      </c>
    </row>
    <row r="18" customFormat="false" ht="15" hidden="false" customHeight="false" outlineLevel="0" collapsed="false">
      <c r="L18" s="8" t="n">
        <f aca="false">Clean_Data!A85</f>
        <v>1973</v>
      </c>
      <c r="M18" s="8" t="n">
        <f aca="false">Clean_Data!V85</f>
        <v>7</v>
      </c>
    </row>
    <row r="19" customFormat="false" ht="15" hidden="false" customHeight="false" outlineLevel="0" collapsed="false">
      <c r="L19" s="8" t="n">
        <f aca="false">Clean_Data!A86</f>
        <v>1974</v>
      </c>
      <c r="M19" s="8" t="n">
        <f aca="false">Clean_Data!V86</f>
        <v>8</v>
      </c>
    </row>
    <row r="20" customFormat="false" ht="15" hidden="false" customHeight="false" outlineLevel="0" collapsed="false">
      <c r="L20" s="8" t="n">
        <f aca="false">Clean_Data!A87</f>
        <v>1975</v>
      </c>
      <c r="M20" s="8" t="n">
        <f aca="false">Clean_Data!V87</f>
        <v>9</v>
      </c>
    </row>
    <row r="21" customFormat="false" ht="15" hidden="false" customHeight="false" outlineLevel="0" collapsed="false">
      <c r="L21" s="8" t="n">
        <f aca="false">Clean_Data!A88</f>
        <v>1976</v>
      </c>
      <c r="M21" s="8" t="n">
        <f aca="false">Clean_Data!V88</f>
        <v>9</v>
      </c>
    </row>
    <row r="22" customFormat="false" ht="15" hidden="false" customHeight="false" outlineLevel="0" collapsed="false">
      <c r="L22" s="8" t="n">
        <f aca="false">Clean_Data!A89</f>
        <v>1977</v>
      </c>
      <c r="M22" s="8" t="n">
        <f aca="false">Clean_Data!V89</f>
        <v>12</v>
      </c>
    </row>
    <row r="23" customFormat="false" ht="15" hidden="false" customHeight="false" outlineLevel="0" collapsed="false">
      <c r="L23" s="8" t="n">
        <f aca="false">Clean_Data!A90</f>
        <v>1978</v>
      </c>
      <c r="M23" s="8" t="n">
        <f aca="false">Clean_Data!V90</f>
        <v>8</v>
      </c>
    </row>
    <row r="24" customFormat="false" ht="15" hidden="false" customHeight="false" outlineLevel="0" collapsed="false">
      <c r="L24" s="8" t="n">
        <f aca="false">Clean_Data!A91</f>
        <v>1979</v>
      </c>
      <c r="M24" s="8" t="n">
        <f aca="false">Clean_Data!V91</f>
        <v>9</v>
      </c>
    </row>
    <row r="25" customFormat="false" ht="15" hidden="false" customHeight="false" outlineLevel="0" collapsed="false">
      <c r="L25" s="8" t="n">
        <f aca="false">Clean_Data!A92</f>
        <v>1980</v>
      </c>
      <c r="M25" s="8" t="n">
        <f aca="false">Clean_Data!V92</f>
        <v>7</v>
      </c>
    </row>
    <row r="26" customFormat="false" ht="15" hidden="false" customHeight="false" outlineLevel="0" collapsed="false">
      <c r="A26" s="16" t="s">
        <v>488</v>
      </c>
      <c r="B26" s="17"/>
      <c r="C26" s="17"/>
      <c r="D26" s="17"/>
      <c r="E26" s="17"/>
      <c r="F26" s="17"/>
      <c r="G26" s="17"/>
      <c r="H26" s="17"/>
      <c r="I26" s="17"/>
      <c r="J26" s="17"/>
      <c r="L26" s="8" t="n">
        <f aca="false">Clean_Data!A93</f>
        <v>1981</v>
      </c>
      <c r="M26" s="8" t="n">
        <f aca="false">Clean_Data!V93</f>
        <v>11</v>
      </c>
    </row>
    <row r="27" customFormat="false" ht="15" hidden="false" customHeight="true" outlineLevel="0" collapsed="false">
      <c r="A27" s="18" t="s">
        <v>524</v>
      </c>
      <c r="B27" s="18"/>
      <c r="C27" s="18"/>
      <c r="D27" s="18"/>
      <c r="E27" s="18"/>
      <c r="F27" s="18"/>
      <c r="G27" s="18"/>
      <c r="H27" s="18"/>
      <c r="I27" s="18"/>
      <c r="J27" s="18"/>
      <c r="L27" s="8" t="n">
        <f aca="false">Clean_Data!A94</f>
        <v>1982</v>
      </c>
      <c r="M27" s="8" t="n">
        <f aca="false">Clean_Data!V94</f>
        <v>3</v>
      </c>
    </row>
    <row r="28" customFormat="false" ht="15" hidden="false" customHeight="false" outlineLevel="0" collapsed="false">
      <c r="A28" s="18"/>
      <c r="B28" s="18"/>
      <c r="C28" s="18"/>
      <c r="D28" s="18"/>
      <c r="E28" s="18"/>
      <c r="F28" s="18"/>
      <c r="G28" s="18"/>
      <c r="H28" s="18"/>
      <c r="I28" s="18"/>
      <c r="J28" s="18"/>
      <c r="L28" s="8" t="n">
        <f aca="false">Clean_Data!A95</f>
        <v>1983</v>
      </c>
      <c r="M28" s="8" t="n">
        <f aca="false">Clean_Data!V95</f>
        <v>2</v>
      </c>
    </row>
    <row r="29" customFormat="false" ht="15" hidden="false" customHeight="false" outlineLevel="0" collapsed="false">
      <c r="A29" s="18"/>
      <c r="B29" s="18"/>
      <c r="C29" s="18"/>
      <c r="D29" s="18"/>
      <c r="E29" s="18"/>
      <c r="F29" s="18"/>
      <c r="G29" s="18"/>
      <c r="H29" s="18"/>
      <c r="I29" s="18"/>
      <c r="J29" s="18"/>
      <c r="L29" s="8" t="n">
        <f aca="false">Clean_Data!A96</f>
        <v>1984</v>
      </c>
      <c r="M29" s="8" t="n">
        <f aca="false">Clean_Data!V96</f>
        <v>4</v>
      </c>
    </row>
    <row r="30" customFormat="false" ht="15" hidden="false" customHeight="false" outlineLevel="0" collapsed="false">
      <c r="A30" s="18"/>
      <c r="B30" s="18"/>
      <c r="C30" s="18"/>
      <c r="D30" s="18"/>
      <c r="E30" s="18"/>
      <c r="F30" s="18"/>
      <c r="G30" s="18"/>
      <c r="H30" s="18"/>
      <c r="I30" s="18"/>
      <c r="J30" s="18"/>
      <c r="L30" s="8" t="n">
        <f aca="false">Clean_Data!A97</f>
        <v>1985</v>
      </c>
      <c r="M30" s="8" t="n">
        <f aca="false">Clean_Data!V97</f>
        <v>11</v>
      </c>
    </row>
    <row r="31" customFormat="false" ht="15" hidden="false" customHeight="false" outlineLevel="0" collapsed="false">
      <c r="A31" s="18"/>
      <c r="B31" s="18"/>
      <c r="C31" s="18"/>
      <c r="D31" s="18"/>
      <c r="E31" s="18"/>
      <c r="F31" s="18"/>
      <c r="G31" s="18"/>
      <c r="H31" s="18"/>
      <c r="I31" s="18"/>
      <c r="J31" s="18"/>
      <c r="L31" s="8" t="n">
        <f aca="false">Clean_Data!A98</f>
        <v>1986</v>
      </c>
      <c r="M31" s="8" t="n">
        <f aca="false">Clean_Data!V98</f>
        <v>5</v>
      </c>
    </row>
    <row r="32" customFormat="false" ht="15" hidden="false" customHeight="false" outlineLevel="0" collapsed="false">
      <c r="A32" s="18"/>
      <c r="B32" s="18"/>
      <c r="C32" s="18"/>
      <c r="D32" s="18"/>
      <c r="E32" s="18"/>
      <c r="F32" s="18"/>
      <c r="G32" s="18"/>
      <c r="H32" s="18"/>
      <c r="I32" s="18"/>
      <c r="J32" s="18"/>
      <c r="L32" s="8" t="n">
        <f aca="false">Clean_Data!A99</f>
        <v>1987</v>
      </c>
      <c r="M32" s="8" t="n">
        <f aca="false">Clean_Data!V99</f>
        <v>6</v>
      </c>
    </row>
    <row r="33" customFormat="false" ht="15" hidden="false" customHeight="false" outlineLevel="0" collapsed="false">
      <c r="A33" s="18"/>
      <c r="B33" s="18"/>
      <c r="C33" s="18"/>
      <c r="D33" s="18"/>
      <c r="E33" s="18"/>
      <c r="F33" s="18"/>
      <c r="G33" s="18"/>
      <c r="H33" s="18"/>
      <c r="I33" s="18"/>
      <c r="J33" s="18"/>
      <c r="L33" s="8" t="n">
        <f aca="false">Clean_Data!A100</f>
        <v>1988</v>
      </c>
      <c r="M33" s="8" t="n">
        <f aca="false">Clean_Data!V100</f>
        <v>10</v>
      </c>
    </row>
    <row r="34" customFormat="false" ht="15" hidden="false" customHeight="false" outlineLevel="0" collapsed="false">
      <c r="A34" s="18"/>
      <c r="B34" s="18"/>
      <c r="C34" s="18"/>
      <c r="D34" s="18"/>
      <c r="E34" s="18"/>
      <c r="F34" s="18"/>
      <c r="G34" s="18"/>
      <c r="H34" s="18"/>
      <c r="I34" s="18"/>
      <c r="J34" s="18"/>
      <c r="L34" s="8" t="n">
        <f aca="false">Clean_Data!A101</f>
        <v>1989</v>
      </c>
      <c r="M34" s="8" t="n">
        <f aca="false">Clean_Data!V101</f>
        <v>11</v>
      </c>
    </row>
    <row r="35" customFormat="false" ht="15" hidden="false" customHeight="false" outlineLevel="0" collapsed="false">
      <c r="L35" s="8" t="n">
        <f aca="false">Clean_Data!A102</f>
        <v>1990</v>
      </c>
      <c r="M35" s="8" t="n">
        <f aca="false">Clean_Data!V102</f>
        <v>24</v>
      </c>
    </row>
    <row r="36" customFormat="false" ht="15" hidden="false" customHeight="false" outlineLevel="0" collapsed="false">
      <c r="L36" s="8" t="n">
        <f aca="false">Clean_Data!A103</f>
        <v>1991</v>
      </c>
      <c r="M36" s="8" t="n">
        <f aca="false">Clean_Data!V103</f>
        <v>15</v>
      </c>
    </row>
    <row r="37" customFormat="false" ht="15" hidden="false" customHeight="false" outlineLevel="0" collapsed="false">
      <c r="L37" s="8" t="n">
        <f aca="false">Clean_Data!A104</f>
        <v>1992</v>
      </c>
      <c r="M37" s="8" t="n">
        <f aca="false">Clean_Data!V104</f>
        <v>14</v>
      </c>
    </row>
    <row r="38" customFormat="false" ht="15" hidden="false" customHeight="false" outlineLevel="0" collapsed="false">
      <c r="L38" s="8" t="n">
        <f aca="false">Clean_Data!A105</f>
        <v>1993</v>
      </c>
      <c r="M38" s="8" t="n">
        <f aca="false">Clean_Data!V105</f>
        <v>3</v>
      </c>
    </row>
    <row r="39" customFormat="false" ht="15" hidden="false" customHeight="false" outlineLevel="0" collapsed="false">
      <c r="L39" s="8" t="n">
        <f aca="false">Clean_Data!A106</f>
        <v>1994</v>
      </c>
      <c r="M39" s="8" t="n">
        <f aca="false">Clean_Data!V106</f>
        <v>1</v>
      </c>
    </row>
    <row r="40" customFormat="false" ht="15" hidden="false" customHeight="false" outlineLevel="0" collapsed="false">
      <c r="L40" s="8" t="n">
        <f aca="false">Clean_Data!A107</f>
        <v>1995</v>
      </c>
      <c r="M40" s="8" t="n">
        <f aca="false">Clean_Data!V107</f>
        <v>1</v>
      </c>
    </row>
    <row r="41" customFormat="false" ht="15" hidden="false" customHeight="false" outlineLevel="0" collapsed="false">
      <c r="L41" s="8" t="n">
        <f aca="false">Clean_Data!A108</f>
        <v>1996</v>
      </c>
      <c r="M41" s="8" t="n">
        <f aca="false">Clean_Data!V108</f>
        <v>6</v>
      </c>
    </row>
    <row r="42" customFormat="false" ht="15" hidden="false" customHeight="false" outlineLevel="0" collapsed="false">
      <c r="L42" s="8" t="n">
        <f aca="false">Clean_Data!A109</f>
        <v>1997</v>
      </c>
      <c r="M42" s="8" t="n">
        <f aca="false">Clean_Data!V109</f>
        <v>2</v>
      </c>
    </row>
    <row r="43" customFormat="false" ht="15" hidden="false" customHeight="false" outlineLevel="0" collapsed="false">
      <c r="L43" s="8" t="n">
        <f aca="false">Clean_Data!A110</f>
        <v>1998</v>
      </c>
      <c r="M43" s="8" t="n">
        <f aca="false">Clean_Data!V110</f>
        <v>19</v>
      </c>
    </row>
    <row r="44" customFormat="false" ht="15" hidden="false" customHeight="false" outlineLevel="0" collapsed="false">
      <c r="L44" s="8" t="n">
        <f aca="false">Clean_Data!A111</f>
        <v>1999</v>
      </c>
      <c r="M44" s="8" t="n">
        <f aca="false">Clean_Data!V111</f>
        <v>3</v>
      </c>
    </row>
    <row r="45" customFormat="false" ht="15" hidden="false" customHeight="false" outlineLevel="0" collapsed="false">
      <c r="L45" s="8" t="n">
        <f aca="false">Clean_Data!A112</f>
        <v>2000</v>
      </c>
      <c r="M45" s="8" t="n">
        <f aca="false">Clean_Data!V112</f>
        <v>8</v>
      </c>
    </row>
    <row r="46" customFormat="false" ht="15" hidden="false" customHeight="false" outlineLevel="0" collapsed="false">
      <c r="L46" s="8" t="n">
        <f aca="false">Clean_Data!A113</f>
        <v>2001</v>
      </c>
      <c r="M46" s="8" t="n">
        <f aca="false">Clean_Data!V113</f>
        <v>8</v>
      </c>
    </row>
    <row r="47" customFormat="false" ht="15" hidden="false" customHeight="false" outlineLevel="0" collapsed="false">
      <c r="L47" s="8" t="n">
        <f aca="false">Clean_Data!A115</f>
        <v>2003</v>
      </c>
      <c r="M47" s="8" t="n">
        <f aca="false">Clean_Data!V115</f>
        <v>19</v>
      </c>
    </row>
    <row r="48" customFormat="false" ht="15" hidden="false" customHeight="false" outlineLevel="0" collapsed="false">
      <c r="L48" s="8" t="n">
        <f aca="false">Clean_Data!A117</f>
        <v>2005</v>
      </c>
      <c r="M48" s="8" t="n">
        <f aca="false">Clean_Data!V117</f>
        <v>24</v>
      </c>
    </row>
    <row r="49" customFormat="false" ht="15" hidden="false" customHeight="false" outlineLevel="0" collapsed="false">
      <c r="L49" s="8" t="n">
        <f aca="false">Clean_Data!A121</f>
        <v>2009</v>
      </c>
      <c r="M49" s="8" t="n">
        <f aca="false">Clean_Data!V121</f>
        <v>14</v>
      </c>
    </row>
    <row r="50" customFormat="false" ht="15" hidden="false" customHeight="false" outlineLevel="0" collapsed="false">
      <c r="L50" s="8" t="n">
        <f aca="false">Clean_Data!A122</f>
        <v>2010</v>
      </c>
      <c r="M50" s="8" t="n">
        <f aca="false">Clean_Data!V122</f>
        <v>20</v>
      </c>
    </row>
    <row r="51" customFormat="false" ht="15" hidden="false" customHeight="false" outlineLevel="0" collapsed="false">
      <c r="L51" s="8" t="n">
        <f aca="false">Clean_Data!A123</f>
        <v>2011</v>
      </c>
      <c r="M51" s="8" t="n">
        <f aca="false">Clean_Data!V123</f>
        <v>24</v>
      </c>
    </row>
    <row r="52" customFormat="false" ht="15" hidden="false" customHeight="false" outlineLevel="0" collapsed="false">
      <c r="L52" s="8" t="n">
        <f aca="false">Clean_Data!A124</f>
        <v>2012</v>
      </c>
      <c r="M52" s="8" t="n">
        <f aca="false">Clean_Data!V124</f>
        <v>25</v>
      </c>
    </row>
  </sheetData>
  <mergeCells count="2">
    <mergeCell ref="A2:J3"/>
    <mergeCell ref="A27:J34"/>
  </mergeCells>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2026-10-09T17:53:08Z</dcterms:created>
  <dc:creator>openpyxl</dc:creator>
  <dc:description/>
  <dc:language>en-US</dc:language>
  <cp:lastModifiedBy/>
  <dcterms:modified xsi:type="dcterms:W3CDTF">2026-10-09T12:53:12Z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